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avaldigitallabs.sharepoint.com/sites/Analtica_ADL/Documentos compartidos/General/Teams/Plataforma de Datos/Ingenieros de Datos/Transversal/Codefest 2026/Fuentes/Reporte_final_scraping/"/>
    </mc:Choice>
  </mc:AlternateContent>
  <xr:revisionPtr revIDLastSave="23" documentId="11_739BF5F1DEFF32CC8A74EF32F33F0D9943E77276" xr6:coauthVersionLast="47" xr6:coauthVersionMax="47" xr10:uidLastSave="{62302A35-2BF0-4CA2-96D5-FAB6B6AE3541}"/>
  <bookViews>
    <workbookView xWindow="0" yWindow="600" windowWidth="38400" windowHeight="21000" tabRatio="500" xr2:uid="{00000000-000D-0000-FFFF-FFFF00000000}"/>
  </bookViews>
  <sheets>
    <sheet name="Indice" sheetId="1" r:id="rId1"/>
    <sheet name="Resumen por Fenomeno" sheetId="2" r:id="rId2"/>
    <sheet name="Inventario de Archivos" sheetId="3" r:id="rId3"/>
  </sheets>
  <definedNames>
    <definedName name="_xlnm._FilterDatabase" localSheetId="2" hidden="1">'Inventario de Archivos'!$A$1:$G$1827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27" i="3" l="1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2" i="3"/>
  <c r="E5" i="2"/>
  <c r="D5" i="2"/>
  <c r="C5" i="2"/>
  <c r="B5" i="2"/>
  <c r="J23" i="1"/>
  <c r="I23" i="1"/>
  <c r="H23" i="1"/>
  <c r="G23" i="1"/>
  <c r="F23" i="1"/>
  <c r="E23" i="1"/>
  <c r="D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23" i="1" l="1"/>
</calcChain>
</file>

<file path=xl/sharedStrings.xml><?xml version="1.0" encoding="utf-8"?>
<sst xmlns="http://schemas.openxmlformats.org/spreadsheetml/2006/main" count="9221" uniqueCount="1894">
  <si>
    <t>Fenómeno</t>
  </si>
  <si>
    <t>Observatorio</t>
  </si>
  <si>
    <t>Código</t>
  </si>
  <si>
    <t>PDF</t>
  </si>
  <si>
    <t>JSON</t>
  </si>
  <si>
    <t>CSV</t>
  </si>
  <si>
    <t>Excel</t>
  </si>
  <si>
    <t>Imagen</t>
  </si>
  <si>
    <t>Texto</t>
  </si>
  <si>
    <t>PBF (Mapas)</t>
  </si>
  <si>
    <t>Total datos</t>
  </si>
  <si>
    <t>F1 — IA y Capacidades Estratégicas</t>
  </si>
  <si>
    <t>AI_Index_Stanford</t>
  </si>
  <si>
    <t>AIINDEX</t>
  </si>
  <si>
    <t>Atlantic_Council</t>
  </si>
  <si>
    <t>ATLCOUNCIL</t>
  </si>
  <si>
    <t>CENIA</t>
  </si>
  <si>
    <t>CSET_Georgetown</t>
  </si>
  <si>
    <t>CSET</t>
  </si>
  <si>
    <t>DAIO</t>
  </si>
  <si>
    <t>Defensa21_LatAm</t>
  </si>
  <si>
    <t>DEFENSA21</t>
  </si>
  <si>
    <t>ILIA_Latam</t>
  </si>
  <si>
    <t>ILIA</t>
  </si>
  <si>
    <t>RutaN_GEIAL</t>
  </si>
  <si>
    <t>RUTAN</t>
  </si>
  <si>
    <t>F2 — Seguridad del Entorno Espacial</t>
  </si>
  <si>
    <t>CSIS_Aerospace</t>
  </si>
  <si>
    <t>CSIS</t>
  </si>
  <si>
    <t>ESA_Space_Debris</t>
  </si>
  <si>
    <t>ESA</t>
  </si>
  <si>
    <t>INPE</t>
  </si>
  <si>
    <t>SWF_Counterspace</t>
  </si>
  <si>
    <t>SWF</t>
  </si>
  <si>
    <t>UNOOSA</t>
  </si>
  <si>
    <t>F3 — Dinámicas Territoriales</t>
  </si>
  <si>
    <t>Alertas_Tempranas</t>
  </si>
  <si>
    <t>ALERTAS</t>
  </si>
  <si>
    <t>Amazon_Underworld</t>
  </si>
  <si>
    <t>AMAZONUW</t>
  </si>
  <si>
    <t>CEEEP</t>
  </si>
  <si>
    <t>CEOBS</t>
  </si>
  <si>
    <t>MAPP_OEA</t>
  </si>
  <si>
    <t>MAPPOEA</t>
  </si>
  <si>
    <t>RESDAL</t>
  </si>
  <si>
    <t>SIPRI</t>
  </si>
  <si>
    <t>Wilson_Center</t>
  </si>
  <si>
    <t>WILSON</t>
  </si>
  <si>
    <t>TOTAL</t>
  </si>
  <si>
    <t>Observatorios</t>
  </si>
  <si>
    <t>PDFs</t>
  </si>
  <si>
    <t>JSONs</t>
  </si>
  <si>
    <t>Código Observatorio</t>
  </si>
  <si>
    <t>DOC_ID</t>
  </si>
  <si>
    <t>Nombre estandarizado</t>
  </si>
  <si>
    <t>Carpeta</t>
  </si>
  <si>
    <t>Tipo</t>
  </si>
  <si>
    <t>F1</t>
  </si>
  <si>
    <t>AIINDEX_ai-index-2024-ch1-research-development.pdf</t>
  </si>
  <si>
    <t>F1_IA_y_Capacidades_Estrategicas/AI_Index_Stanford/recursos/AI_Index_Report/pdfs</t>
  </si>
  <si>
    <t>AIINDEX_ai-index-2024-ch2-technical-performance.pdf</t>
  </si>
  <si>
    <t>AIINDEX_ai-index-2024-ch3-responsible-ai.pdf</t>
  </si>
  <si>
    <t>AIINDEX_ai-index-2024-ch4-economy.pdf</t>
  </si>
  <si>
    <t>AIINDEX_ai-index-2024-ch5-science-medicine.pdf</t>
  </si>
  <si>
    <t>AIINDEX_ai-index-2024-ch6-education.pdf</t>
  </si>
  <si>
    <t>AIINDEX_ai-index-2025-ch1-research-development.pdf</t>
  </si>
  <si>
    <t>AIINDEX_ai-index-2025-ch2-technical-performance.pdf</t>
  </si>
  <si>
    <t>AIINDEX_ai-index-2025-ch3-responsible-ai.pdf</t>
  </si>
  <si>
    <t>AIINDEX_ai-index-2025-ch4-economy.pdf</t>
  </si>
  <si>
    <t>AIINDEX_ai-index-2025-ch5-science.pdf</t>
  </si>
  <si>
    <t>AIINDEX_ai-index-2025-ch6-education.pdf</t>
  </si>
  <si>
    <t>AIINDEX_ai-index-2025-ch7-policy-governance.pdf</t>
  </si>
  <si>
    <t>AIINDEX_ai-index-2025-chinese-version.pdf</t>
  </si>
  <si>
    <t>AIINDEX_ai-index-report-2017.pdf</t>
  </si>
  <si>
    <t>F1_IA_y_Capacidades_Estrategicas/AI_Index_Stanford/pdfs</t>
  </si>
  <si>
    <t>AIINDEX_ai-index-report-2018.pdf</t>
  </si>
  <si>
    <t>AIINDEX_ai-index-report-2019.pdf</t>
  </si>
  <si>
    <t>AIINDEX_ai-index-report-2021.pdf</t>
  </si>
  <si>
    <t>AIINDEX_ai-index-report-2022.pdf</t>
  </si>
  <si>
    <t>AIINDEX_ai-index-report-2023.pdf</t>
  </si>
  <si>
    <t>AIINDEX_ai-index-report-2024.pdf</t>
  </si>
  <si>
    <t>AIINDEX_ai-index-report-2025.pdf</t>
  </si>
  <si>
    <t>AIINDEX_ai-index-report-2026.pdf</t>
  </si>
  <si>
    <t>AIINDEX_clinicaltrials-artificial-intelligence-csv.csv</t>
  </si>
  <si>
    <t>F1_IA_y_Capacidades_Estrategicas/AI_Index_Stanford/recursos/Healthcare_Medicine/datasets</t>
  </si>
  <si>
    <t>AIINDEX_clinicaltrials-computer-science-csv.csv</t>
  </si>
  <si>
    <t>AIINDEX_clinicaltrials-computer-vision-csv.csv</t>
  </si>
  <si>
    <t>AIINDEX_clinicaltrials-machine-learning-csv.csv</t>
  </si>
  <si>
    <t>AIINDEX_clinicaltrials-nlp-csv.csv</t>
  </si>
  <si>
    <t>AIINDEX_clinicaltrials-robotics-csv.csv</t>
  </si>
  <si>
    <t>AIINDEX_congressional-boot-camp-on-ai-booklet.pdf</t>
  </si>
  <si>
    <t>F1_IA_y_Capacidades_Estrategicas/AI_Index_Stanford/recursos/Policy_Governance/pdfs</t>
  </si>
  <si>
    <t>AIINDEX_generative-ai-perspectives-from-stanford-hai.pdf</t>
  </si>
  <si>
    <t>F1_IA_y_Capacidades_Estrategicas/AI_Index_Stanford/recursos/Generative_AI/pdfs</t>
  </si>
  <si>
    <t>AIINDEX_hai-annual-report-2020-2021.pdf</t>
  </si>
  <si>
    <t>F1_IA_y_Capacidades_Estrategicas/AI_Index_Stanford/recursos/Annual_Reports/pdfs</t>
  </si>
  <si>
    <t>AIINDEX_hai-annual-report-2021-2022.pdf</t>
  </si>
  <si>
    <t>AIINDEX_hai-annual-report-2022-2023.pdf</t>
  </si>
  <si>
    <t>AIINDEX_hai-annual-report-2023-2024.pdf</t>
  </si>
  <si>
    <t>AIINDEX_hai-annual-report-2024-2025.pdf</t>
  </si>
  <si>
    <t>AIINDEX_hai-founding-member-program-2025.pdf</t>
  </si>
  <si>
    <t>F1_IA_y_Capacidades_Estrategicas/AI_Index_Stanford/recursos/Industry_Innovation/pdfs</t>
  </si>
  <si>
    <t>AIINDEX_industry-brief-education-ai.pdf</t>
  </si>
  <si>
    <t>F1_IA_y_Capacidades_Estrategicas/AI_Index_Stanford/recursos/Education_Skills/pdfs</t>
  </si>
  <si>
    <t>AIINDEX_industry-brief-healthcare-ai.pdf</t>
  </si>
  <si>
    <t>F1_IA_y_Capacidades_Estrategicas/AI_Index_Stanford/recursos/Healthcare_Medicine/pdfs</t>
  </si>
  <si>
    <t>AIINDEX_industry-brief-sustainability-ai.pdf</t>
  </si>
  <si>
    <t>F1_IA_y_Capacidades_Estrategicas/AI_Index_Stanford/recursos/Environment_Energy/pdfs</t>
  </si>
  <si>
    <t>AIINDEX_lit-covid-ai-covid-literature-csv.csv</t>
  </si>
  <si>
    <t>AIINDEX_lit-covid-ai-covid-literature-xlsx.xlsx</t>
  </si>
  <si>
    <t>AIINDEX_mag-author-lifecycle-xlsx.xlsx</t>
  </si>
  <si>
    <t>F1_IA_y_Capacidades_Estrategicas/AI_Index_Stanford/recursos/Research_Development/datasets</t>
  </si>
  <si>
    <t>AIINDEX_mag-conferences-list-xlsx.xlsx</t>
  </si>
  <si>
    <t>AIINDEX_mag-publications-fields-xlsx.xlsx</t>
  </si>
  <si>
    <t>AIINDEX_policy-brief-adverse-event-reporting-for-ai.pdf</t>
  </si>
  <si>
    <t>AIINDEX_policy-brief-ai-ethics.pdf</t>
  </si>
  <si>
    <t>F1_IA_y_Capacidades_Estrategicas/AI_Index_Stanford/recursos/Ethics_Equity/pdfs</t>
  </si>
  <si>
    <t>AIINDEX_policy-brief-ai-generated-propaganda.pdf</t>
  </si>
  <si>
    <t>AIINDEX_policy-brief-algorithmic-fairness-in-clinical-risk-prediction.pdf</t>
  </si>
  <si>
    <t>AIINDEX_policy-brief-chinas-diverse-open-weight-ai-ecosystem.pdf</t>
  </si>
  <si>
    <t>F1_IA_y_Capacidades_Estrategicas/AI_Index_Stanford/recursos/International_Affairs/pdfs</t>
  </si>
  <si>
    <t>AIINDEX_policy-brief-labeling-ai-generated-content.pdf</t>
  </si>
  <si>
    <t>AIINDEX_policy-brief-safeguarding-third-party-ai-research.pdf</t>
  </si>
  <si>
    <t>AIINDEX_policy-brief-simulating-human-behavior-with-ai-agents.pdf</t>
  </si>
  <si>
    <t>AIINDEX_policy-brief-what-makes-a-good-ai-benchmark.pdf</t>
  </si>
  <si>
    <t>AIINDEX_pubmed-ai-timeline-csv.csv</t>
  </si>
  <si>
    <t>AIINDEX_pubmed-artificial-intelligence-csv.csv</t>
  </si>
  <si>
    <t>AIINDEX_pubmed-computer-vision-csv.csv</t>
  </si>
  <si>
    <t>AIINDEX_pubmed-cv-timeline-csv.csv</t>
  </si>
  <si>
    <t>AIINDEX_pubmed-machine-learning-csv.csv</t>
  </si>
  <si>
    <t>AIINDEX_pubmed-ml-timeline-csv.csv</t>
  </si>
  <si>
    <t>AIINDEX_pubmed-nlp-csv.csv</t>
  </si>
  <si>
    <t>AIINDEX_pubmed-nlp-timeline-csv.csv</t>
  </si>
  <si>
    <t>AIINDEX_pubmed-robotics-csv.csv</t>
  </si>
  <si>
    <t>AIINDEX_pubmed-robotics-timeline-csv.csv</t>
  </si>
  <si>
    <t>AIINDEX_stanford-hai-rfi-submission.pdf</t>
  </si>
  <si>
    <t>ATLCOUNCIL_01-beyond-chips-prioritizing-standardization-is-critical-for-u-s-competitivenes.json</t>
  </si>
  <si>
    <t>F1_IA_y_Capacidades_Estrategicas/Atlantic_Council/GeoTech_Cues/page_04</t>
  </si>
  <si>
    <t>ATLCOUNCIL_01-counting-the-costs-of-technonationalism-and-the-balkanization-of-cyberspace.json</t>
  </si>
  <si>
    <t>F1_IA_y_Capacidades_Estrategicas/Atlantic_Council/GeoTech_Cues/page_05</t>
  </si>
  <si>
    <t>ATLCOUNCIL_01-covid-19-technological-innovation-and-the-future-of-societies.json</t>
  </si>
  <si>
    <t>F1_IA_y_Capacidades_Estrategicas/Atlantic_Council/GeoTech_Cues/page_20</t>
  </si>
  <si>
    <t>ATLCOUNCIL_01-covid-19s-potential-impact-on-global-technology-and-data-innovation.json</t>
  </si>
  <si>
    <t>F1_IA_y_Capacidades_Estrategicas/Atlantic_Council/GeoTech_Cues/page_21</t>
  </si>
  <si>
    <t>ATLCOUNCIL_01-europe-must-address-the-digital-sovereignty-triad.json</t>
  </si>
  <si>
    <t>F1_IA_y_Capacidades_Estrategicas/Atlantic_Council/GeoTech_Cues/page_01</t>
  </si>
  <si>
    <t>ATLCOUNCIL_01-event-climate-tech-and-security.json</t>
  </si>
  <si>
    <t>F1_IA_y_Capacidades_Estrategicas/Atlantic_Council/GeoTech_Cues/page_15</t>
  </si>
  <si>
    <t>ATLCOUNCIL_01-event-how-we-can-achieve-both-healthy-communities-and-economic-renewal.json</t>
  </si>
  <si>
    <t>F1_IA_y_Capacidades_Estrategicas/Atlantic_Council/GeoTech_Cues/page_08</t>
  </si>
  <si>
    <t>ATLCOUNCIL_01-event-recap-actionable-steps-in-turbulent-times.json</t>
  </si>
  <si>
    <t>F1_IA_y_Capacidades_Estrategicas/Atlantic_Council/GeoTech_Cues/page_18</t>
  </si>
  <si>
    <t>ATLCOUNCIL_01-event-recap-autonomous-systems-employing-ai.json</t>
  </si>
  <si>
    <t>F1_IA_y_Capacidades_Estrategicas/Atlantic_Council/GeoTech_Cues/page_07</t>
  </si>
  <si>
    <t>ATLCOUNCIL_01-event-recap-coordinating-data-privacy-public-interest.json</t>
  </si>
  <si>
    <t>F1_IA_y_Capacidades_Estrategicas/Atlantic_Council/GeoTech_Cues/page_09</t>
  </si>
  <si>
    <t>ATLCOUNCIL_01-event-recap-data-salon-episode-1.json</t>
  </si>
  <si>
    <t>F1_IA_y_Capacidades_Estrategicas/Atlantic_Council/GeoTech_Cues/page_19</t>
  </si>
  <si>
    <t>ATLCOUNCIL_01-event-recap-data-security-and-the-global-food-system.json</t>
  </si>
  <si>
    <t>F1_IA_y_Capacidades_Estrategicas/Atlantic_Council/GeoTech_Cues/page_14</t>
  </si>
  <si>
    <t>ATLCOUNCIL_01-event-recap-digital-content-safety.json</t>
  </si>
  <si>
    <t>F1_IA_y_Capacidades_Estrategicas/Atlantic_Council/GeoTech_Cues/page_12</t>
  </si>
  <si>
    <t>ATLCOUNCIL_01-event-recap-geopolitics-of-emerging-tech-pandemic.json</t>
  </si>
  <si>
    <t>F1_IA_y_Capacidades_Estrategicas/Atlantic_Council/GeoTech_Cues/page_10</t>
  </si>
  <si>
    <t>ATLCOUNCIL_01-event-recap-space-salon-innovative-solutions-to-real-world-problems.json</t>
  </si>
  <si>
    <t>F1_IA_y_Capacidades_Estrategicas/Atlantic_Council/GeoTech_Cues/page_13</t>
  </si>
  <si>
    <t>ATLCOUNCIL_01-event-technology-and-pandemics-challenges-and-opportunities.json</t>
  </si>
  <si>
    <t>F1_IA_y_Capacidades_Estrategicas/Atlantic_Council/GeoTech_Cues/page_06</t>
  </si>
  <si>
    <t>ATLCOUNCIL_01-g7-leaders-have-the-opportunity-to-strengthen-digital-resilience-heres-how-t.json</t>
  </si>
  <si>
    <t>F1_IA_y_Capacidades_Estrategicas/Atlantic_Council/GeoTech_Cues/page_02</t>
  </si>
  <si>
    <t>ATLCOUNCIL_01-indias-quest-for-digital-sovereignty.json</t>
  </si>
  <si>
    <t>F1_IA_y_Capacidades_Estrategicas/Atlantic_Council/GeoTech_Cues/page_11</t>
  </si>
  <si>
    <t>ATLCOUNCIL_01-living-within-the-truth-in-the-age-of-coronavirus-americas-security-on-the-l.json</t>
  </si>
  <si>
    <t>F1_IA_y_Capacidades_Estrategicas/Atlantic_Council/GeoTech_Cues/page_17</t>
  </si>
  <si>
    <t>ATLCOUNCIL_01-one-hundred-years-of-energy-transitions.json</t>
  </si>
  <si>
    <t>F1_IA_y_Capacidades_Estrategicas/Atlantic_Council/GeoTech_Cues/page_03</t>
  </si>
  <si>
    <t>ATLCOUNCIL_01-open-societies-must-create-a-grand-strategy.json</t>
  </si>
  <si>
    <t>F1_IA_y_Capacidades_Estrategicas/Atlantic_Council/GeoTech_Cues/page_16</t>
  </si>
  <si>
    <t>ATLCOUNCIL_01-pandemic-survival-strategies-a-leadership-guide-for-organizations-wanting-to.json</t>
  </si>
  <si>
    <t>F1_IA_y_Capacidades_Estrategicas/Atlantic_Council/GeoTech_Cues/page_22</t>
  </si>
  <si>
    <t>ATLCOUNCIL_02-5gs-geopolitics-solvable-by-improving-routing-protocols-vs-modern-threats.json</t>
  </si>
  <si>
    <t>ATLCOUNCIL_02-design-choices-of-central-bank-digital-currencies-will-transform-digital-pay.json</t>
  </si>
  <si>
    <t>ATLCOUNCIL_02-eu-ai-act-sets-the-stage-for-global-ai-governance-implications-for-us-compan.json</t>
  </si>
  <si>
    <t>ATLCOUNCIL_02-event-recap-assured-trust-in-medicine.json</t>
  </si>
  <si>
    <t>ATLCOUNCIL_02-event-recap-coordinating-data-privacy.json</t>
  </si>
  <si>
    <t>ATLCOUNCIL_02-event-recap-countering-bot-swarms-part-2.json</t>
  </si>
  <si>
    <t>ATLCOUNCIL_02-event-recap-data-salon-episode-6-digital-identity.json</t>
  </si>
  <si>
    <t>ATLCOUNCIL_02-event-recap-global-impacts-of-democratized-tech.json</t>
  </si>
  <si>
    <t>ATLCOUNCIL_02-event-recap-practical-steps-towards-data-for-good.json</t>
  </si>
  <si>
    <t>ATLCOUNCIL_02-event-technologies-for-rebuilding-after-covid-19.json</t>
  </si>
  <si>
    <t>ATLCOUNCIL_02-going-deeper-central-bank-digital-currencies-and-how-best-to-design-them-to.json</t>
  </si>
  <si>
    <t>ATLCOUNCIL_02-health-challenges-are-intimately-linked-to-climate-change-how-will-we-prepar.json</t>
  </si>
  <si>
    <t>ATLCOUNCIL_02-how-public-trust-survives-in-the-era-of-automation.json</t>
  </si>
  <si>
    <t>ATLCOUNCIL_02-research-and-development-still-key-to-competitiveness-but-for-whom.json</t>
  </si>
  <si>
    <t>ATLCOUNCIL_02-the-geopolitics-of-russias-vaccine-claim.json</t>
  </si>
  <si>
    <t>ATLCOUNCIL_02-the-tipping-point-climate-crises-and-zoonotic-disease.json</t>
  </si>
  <si>
    <t>ATLCOUNCIL_02-to-build-tomorrows-power-grid-the-united-states-should-look-to-geothermal-en.json</t>
  </si>
  <si>
    <t>ATLCOUNCIL_02-to-realize-returns-on-their-ai-investments-corporations-must-consider-their.json</t>
  </si>
  <si>
    <t>ATLCOUNCIL_02-vaccine-hesitancy-part-2.json</t>
  </si>
  <si>
    <t>ATLCOUNCIL_02-why-data-governance-matters.json</t>
  </si>
  <si>
    <t>ATLCOUNCIL_02-worries-about-ai-externalities.json</t>
  </si>
  <si>
    <t>ATLCOUNCIL_03-ai-governance-on-a-global-stage-key-themes-from-the-biggest-week-in-ai-polic.json</t>
  </si>
  <si>
    <t>ATLCOUNCIL_03-building-smarter-military-bases-for-climate-resilient-communities.json</t>
  </si>
  <si>
    <t>ATLCOUNCIL_03-deepseek-shows-the-us-and-eu-the-costs-of-failing-to-govern-ai.json</t>
  </si>
  <si>
    <t>ATLCOUNCIL_03-event-data-trusts-and-the-global-covid-19-response.json</t>
  </si>
  <si>
    <t>ATLCOUNCIL_03-event-recap-commission-report-launch-part-ii.json</t>
  </si>
  <si>
    <t>ATLCOUNCIL_03-event-recap-countering-bot-swarms.json</t>
  </si>
  <si>
    <t>ATLCOUNCIL_03-event-recap-future-of-trust-and-sensemaking.json</t>
  </si>
  <si>
    <t>ATLCOUNCIL_03-event-recap-geotech-decade-ahead.json</t>
  </si>
  <si>
    <t>ATLCOUNCIL_03-event-recap-space-the-next-frontier-for-innovation-and-more.json</t>
  </si>
  <si>
    <t>ATLCOUNCIL_03-event-recap-tech-enabled-dis-and-misinformation.json</t>
  </si>
  <si>
    <t>ATLCOUNCIL_03-event-recap-western-society-i.json</t>
  </si>
  <si>
    <t>ATLCOUNCIL_03-going-deeper-mobilizing-industry-to-encourage-multi-sector-solutions-to-glob.json</t>
  </si>
  <si>
    <t>ATLCOUNCIL_03-imagining-our-food-system-in-the-decades-to-come.json</t>
  </si>
  <si>
    <t>ATLCOUNCIL_03-mitigating-the-impacts-of-global-food-crises-associated-with-covid-19.json</t>
  </si>
  <si>
    <t>ATLCOUNCIL_03-pandemic-may-replace-the-nation-state-but-with-what.json</t>
  </si>
  <si>
    <t>ATLCOUNCIL_03-reimagining-a-just-society-is-a-different-world-possible.json</t>
  </si>
  <si>
    <t>ATLCOUNCIL_03-silicon-valleys-role-in-foreign-policy-and-what-others-can-learn-from-it.json</t>
  </si>
  <si>
    <t>ATLCOUNCIL_03-technology-for-good.json</t>
  </si>
  <si>
    <t>ATLCOUNCIL_03-the-next-phase-of-us-china-economic-and-tech-decoupling.json</t>
  </si>
  <si>
    <t>ATLCOUNCIL_03-to-compete-with-china-in-space-the-us-must-form-more-equitable-commercial-pa.json</t>
  </si>
  <si>
    <t>ATLCOUNCIL_03-we-can-increase-public-participation-in-data-and-avoid-surveillance-states-h.json</t>
  </si>
  <si>
    <t>ATLCOUNCIL_04-a-bipolar-world.json</t>
  </si>
  <si>
    <t>ATLCOUNCIL_04-at-the-nexus-of-technology-and-security-biometrics-at-the-border.json</t>
  </si>
  <si>
    <t>ATLCOUNCIL_04-digital-discrimination-addressing-ageism-in-design-and-use-of-new-and-emergi.json</t>
  </si>
  <si>
    <t>ATLCOUNCIL_04-event-recap-accelerating-covid-19-tests-treatments-and-vaccine-distribution.json</t>
  </si>
  <si>
    <t>ATLCOUNCIL_04-event-recap-agriculture-technology.json</t>
  </si>
  <si>
    <t>ATLCOUNCIL_04-event-recap-artificial-intelligence-2045.json</t>
  </si>
  <si>
    <t>ATLCOUNCIL_04-event-recap-commission-report-launch-part-i.json</t>
  </si>
  <si>
    <t>ATLCOUNCIL_04-event-recap-data-salon-episode-2.json</t>
  </si>
  <si>
    <t>ATLCOUNCIL_04-event-recap-data-tech-and-geopolitics-in-2021-beyond.json</t>
  </si>
  <si>
    <t>ATLCOUNCIL_04-event-recap-immune-system-for-the-planet.json</t>
  </si>
  <si>
    <t>ATLCOUNCIL_04-goodtechchoices-address-racism-tech-and-data.json</t>
  </si>
  <si>
    <t>ATLCOUNCIL_04-goodtechchoices-address-unjust-uses-of-data.json</t>
  </si>
  <si>
    <t>ATLCOUNCIL_04-how-to-secure-smart-cities-through-decentralized-digital-identities.json</t>
  </si>
  <si>
    <t>ATLCOUNCIL_04-recap-at-the-crossroads-of-emerging-technologies-and-security.json</t>
  </si>
  <si>
    <t>ATLCOUNCIL_04-reimagining-a-just-society-pt-6-our-planetary-condominium.json</t>
  </si>
  <si>
    <t>ATLCOUNCIL_04-the-end-of-an-era.json</t>
  </si>
  <si>
    <t>ATLCOUNCIL_04-the-road-to-the-ai-impact-summit-how-to-build-ai-infrastructure-from-the-gro.json</t>
  </si>
  <si>
    <t>ATLCOUNCIL_04-trumps-sectoral-trade-pivot-what-it-will-take-to-succeed.json</t>
  </si>
  <si>
    <t>ATLCOUNCIL_04-video-recap-strategic-standards-now-so-people-can-return-to-work-soon.json</t>
  </si>
  <si>
    <t>ATLCOUNCIL_04-we-can-build-an-immune-system-for-the-planet.json</t>
  </si>
  <si>
    <t>ATLCOUNCIL_04-we-can-more-rapidly-respond-to-pandemics-here-is-how.json</t>
  </si>
  <si>
    <t>ATLCOUNCIL_05-a-multilateral-resurgence.json</t>
  </si>
  <si>
    <t>ATLCOUNCIL_05-did-deepseek-just-trigger-a-paradigm-shift.json</t>
  </si>
  <si>
    <t>ATLCOUNCIL_05-event-recap-digital-idendity.json</t>
  </si>
  <si>
    <t>ATLCOUNCIL_05-event-recap-eo-14028.json</t>
  </si>
  <si>
    <t>ATLCOUNCIL_05-event-recap-food-system-sustainability-in-2021-and-beyond.json</t>
  </si>
  <si>
    <t>ATLCOUNCIL_05-event-recap-identifying-and-fixing-disruptions-to-the-global-food-system.json</t>
  </si>
  <si>
    <t>ATLCOUNCIL_05-event-recap-new-approaches-to-trust-in-manufacturing.json</t>
  </si>
  <si>
    <t>ATLCOUNCIL_05-event-recap-space-economics.json</t>
  </si>
  <si>
    <t>ATLCOUNCIL_05-event-recap-women-in-tech.json</t>
  </si>
  <si>
    <t>ATLCOUNCIL_05-getting-ahead-of-the-next-catalyst-a-new-paradigm-for-cybersecurity-in-the-s.json</t>
  </si>
  <si>
    <t>ATLCOUNCIL_05-global-food-security-during-covid-19.json</t>
  </si>
  <si>
    <t>ATLCOUNCIL_05-how-data-trusts-can-accelerate-innovation.json</t>
  </si>
  <si>
    <t>ATLCOUNCIL_05-major-takeaways-on-strategic-standards-now-so-people-can-return-to-work-soon.json</t>
  </si>
  <si>
    <t>ATLCOUNCIL_05-making-sense-of-sensemaking-what-it-is-and-what-it-means-for-pandemic-resear.json</t>
  </si>
  <si>
    <t>ATLCOUNCIL_05-mobilizing-public-science-priorities-through-the-american-commercial-space-i.json</t>
  </si>
  <si>
    <t>ATLCOUNCIL_05-pretrial-risk-assessment-tools-must-be-directed-toward-an-abolitionist-visio.json</t>
  </si>
  <si>
    <t>ATLCOUNCIL_05-reimagining-a-just-society-pt-3-a-coming-shift-in-perspective.json</t>
  </si>
  <si>
    <t>ATLCOUNCIL_05-scotch-a-framework-for-rapidly-assessing-influence-operations.json</t>
  </si>
  <si>
    <t>ATLCOUNCIL_05-the-ai-impact-summit-must-focus-on-pathways-not-pilots-to-scale-up-ai-adopti.json</t>
  </si>
  <si>
    <t>ATLCOUNCIL_05-the-ecosystemization-of-russias-big-tech.json</t>
  </si>
  <si>
    <t>ATLCOUNCIL_05-we-can-strengthen-the-global-food-system-here-is-how.json</t>
  </si>
  <si>
    <t>ATLCOUNCIL_06-aging-populations-are-being-ignored-in-global-tech-agreements-that-comes-at.json</t>
  </si>
  <si>
    <t>ATLCOUNCIL_06-central-bank-digital-currency-can-contribute-to-financial-inclusion-but-cann.json</t>
  </si>
  <si>
    <t>ATLCOUNCIL_06-covid-19-might-accelerate-or-change-previous-ai-adoption-strategies.json</t>
  </si>
  <si>
    <t>ATLCOUNCIL_06-cybersecurity-in-service-delivery.json</t>
  </si>
  <si>
    <t>ATLCOUNCIL_06-data-strategies-for-an-ai-powered-government.json</t>
  </si>
  <si>
    <t>ATLCOUNCIL_06-event-recap-data-salon-ep-5.json</t>
  </si>
  <si>
    <t>ATLCOUNCIL_06-event-recap-improvements-to-public-services.json</t>
  </si>
  <si>
    <t>ATLCOUNCIL_06-event-recap-indigenous-data-sovereignty.json</t>
  </si>
  <si>
    <t>ATLCOUNCIL_06-event-recap-reimagining-education.json</t>
  </si>
  <si>
    <t>ATLCOUNCIL_06-games-with-serious-impacts-the-next-generation.json</t>
  </si>
  <si>
    <t>ATLCOUNCIL_06-geotech-vlog-co-commissioners-speak-on-their-outlook-for-the-future.json</t>
  </si>
  <si>
    <t>ATLCOUNCIL_06-how-indias-ai-talent-playbook-can-provide-a-blueprint-for-aspiring-ai-powers.json</t>
  </si>
  <si>
    <t>ATLCOUNCIL_06-how-to-pilot-data-trusts-for-good.json</t>
  </si>
  <si>
    <t>ATLCOUNCIL_06-meet-a-fellow-nikhil-raghuveera.json</t>
  </si>
  <si>
    <t>ATLCOUNCIL_06-reimagining-a-just-society-pt-5-is-this-working-as-intended-global-trends-am.json</t>
  </si>
  <si>
    <t>ATLCOUNCIL_06-silicon-valleys-role-in-foreign-policy.json</t>
  </si>
  <si>
    <t>ATLCOUNCIL_06-societal-and-geopolitical-changes-in-a-post-covid-19-world.json</t>
  </si>
  <si>
    <t>ATLCOUNCIL_06-synthetic-data-privacy-trust.json</t>
  </si>
  <si>
    <t>ATLCOUNCIL_06-third-parties-dont-want-to-choose-sides.json</t>
  </si>
  <si>
    <t>ATLCOUNCIL_06-transfer-of-eu-user-data-to-the-united-states-halted.json</t>
  </si>
  <si>
    <t>ATLCOUNCIL_07-a-policymakers-guide-to-ensuring-that-ai-powered-health-tech-operates-ethica.json</t>
  </si>
  <si>
    <t>ATLCOUNCIL_07-can-tech-companies-embody-global-values-and-ride-to-the-rescue.json</t>
  </si>
  <si>
    <t>ATLCOUNCIL_07-consensus-standards-and-measurement-methods-will-be-critical-to-mitigating-c.json</t>
  </si>
  <si>
    <t>ATLCOUNCIL_07-eu-us-tech-cooperation.json</t>
  </si>
  <si>
    <t>ATLCOUNCIL_07-europes-hurdles.json</t>
  </si>
  <si>
    <t>ATLCOUNCIL_07-event-recap-entrepreneurs-and-accelerating-startup-ecosystems.json</t>
  </si>
  <si>
    <t>ATLCOUNCIL_07-event-recap-global-supply-chains-disrupted.json</t>
  </si>
  <si>
    <t>ATLCOUNCIL_07-event-recap-the-global-quest-for-digital-sovereignty-report-launch.json</t>
  </si>
  <si>
    <t>ATLCOUNCIL_07-for-aging-populations-to-benefit-from-advances-in-healthcare-technology-coun.json</t>
  </si>
  <si>
    <t>ATLCOUNCIL_07-games-with-serious-consequences-extremist-movements-and-kayfabe-2.json</t>
  </si>
  <si>
    <t>ATLCOUNCIL_07-information-warfare-military-civil-deception-today-2030.json</t>
  </si>
  <si>
    <t>ATLCOUNCIL_07-jeff-rowe-interview.json</t>
  </si>
  <si>
    <t>ATLCOUNCIL_07-middle-skill-jobs-as-a-strategic-imperative.json</t>
  </si>
  <si>
    <t>ATLCOUNCIL_07-shared-humanity-amid-times-of-turbulence.json</t>
  </si>
  <si>
    <t>ATLCOUNCIL_07-the-case-for-a-financial-digital-asset-framework-for-cryptocurrencies.json</t>
  </si>
  <si>
    <t>ATLCOUNCIL_07-the-next-step-in-community-centric-service-delivery.json</t>
  </si>
  <si>
    <t>ATLCOUNCIL_07-the-west-china-and-ai-surveillance.json</t>
  </si>
  <si>
    <t>ATLCOUNCIL_07-we-can-get-through-this-covid-19-pandemic-together-here-is-how.json</t>
  </si>
  <si>
    <t>ATLCOUNCIL_07-welcoming-our-geotech-fellows.json</t>
  </si>
  <si>
    <t>ATLCOUNCIL_07-why-a-well-intended-digital-platform-agency-may-not-fit-our-global-networked.json</t>
  </si>
  <si>
    <t>ATLCOUNCIL_08-chinas-ambiguity.json</t>
  </si>
  <si>
    <t>ATLCOUNCIL_08-cooperation-in-a-bipolar-world.json</t>
  </si>
  <si>
    <t>ATLCOUNCIL_08-event-recap-a-fireside-chat.json</t>
  </si>
  <si>
    <t>ATLCOUNCIL_08-event-recap-computing-to-win-the-ai-compute-divide.json</t>
  </si>
  <si>
    <t>ATLCOUNCIL_08-event-recap-data-informed-nutrition-policy-and-initiatives.json</t>
  </si>
  <si>
    <t>ATLCOUNCIL_08-event-recap-data-salon-episode-4.json</t>
  </si>
  <si>
    <t>ATLCOUNCIL_08-event-recap-online-and-in-digital-transactions.json</t>
  </si>
  <si>
    <t>ATLCOUNCIL_08-event-recap-software-supply-chain.json</t>
  </si>
  <si>
    <t>ATLCOUNCIL_08-event-recap-why-data-trusts-could-help-us-better-respond-and-rebuild-from-co.json</t>
  </si>
  <si>
    <t>ATLCOUNCIL_08-global-perspectives-on-ai-and-digital-trust-ahead-of-the-swiss-e-id-referend.json</t>
  </si>
  <si>
    <t>ATLCOUNCIL_08-postpandemic-letdown-and-western-disarray.json</t>
  </si>
  <si>
    <t>ATLCOUNCIL_08-president-bidens-first-foreign-affairs-meetings-overseas.json</t>
  </si>
  <si>
    <t>ATLCOUNCIL_08-property-rights-data-and-prosperity-in-africa.json</t>
  </si>
  <si>
    <t>ATLCOUNCIL_08-public-service-remains-the-essential-undertaking-that-brings-communities-tog.json</t>
  </si>
  <si>
    <t>ATLCOUNCIL_08-reimagining-a-just-society-pt-4-new-maps.json</t>
  </si>
  <si>
    <t>ATLCOUNCIL_08-supply-chains-and-the-effects-of-covid-19-geopolitics-and-technological-inno.json</t>
  </si>
  <si>
    <t>ATLCOUNCIL_08-telework-and-worker-well-being.json</t>
  </si>
  <si>
    <t>ATLCOUNCIL_08-the-regulators-are-coming-for-your-ai.json</t>
  </si>
  <si>
    <t>ATLCOUNCIL_08-the-sovereignty-trap.json</t>
  </si>
  <si>
    <t>ATLCOUNCIL_09-an-unequal-world.json</t>
  </si>
  <si>
    <t>ATLCOUNCIL_09-celebrating-public-service.json</t>
  </si>
  <si>
    <t>ATLCOUNCIL_09-europe-in-a-bipolar-tech-world.json</t>
  </si>
  <si>
    <t>ATLCOUNCIL_09-event-recap-data-salon-episode-3.json</t>
  </si>
  <si>
    <t>ATLCOUNCIL_09-event-recap-making-space-available-for-everyone.json</t>
  </si>
  <si>
    <t>ATLCOUNCIL_09-event-recap-technology-policy-and-leadership-in-2021.json</t>
  </si>
  <si>
    <t>ATLCOUNCIL_09-event-recap-western-society-ii.json</t>
  </si>
  <si>
    <t>ATLCOUNCIL_09-event-the-future-of-data-and-ai-in-space-2.json</t>
  </si>
  <si>
    <t>ATLCOUNCIL_09-how-the-chip-security-act-could-usher-in-an-era-of-trusted-trade-with-us-par.json</t>
  </si>
  <si>
    <t>ATLCOUNCIL_09-how-to-modernize-the-global-food-system-for-an-economy-of-trust.json</t>
  </si>
  <si>
    <t>ATLCOUNCIL_09-major-takeaways-on-how-we-can-achieve-both-healthy-communities-and-economic.json</t>
  </si>
  <si>
    <t>ATLCOUNCIL_09-smart-partnerships-for-global-challenges.json</t>
  </si>
  <si>
    <t>ATLCOUNCIL_09-the-sustainability-questions-policymakers-should-be-asking-about-ai.json</t>
  </si>
  <si>
    <t>ATLCOUNCIL_09-ventilator-to-africa-project.json</t>
  </si>
  <si>
    <t>ATLCOUNCIL_09-why-us-technology-multinationals-are-looking-to-africa-for-ai-and-other-emer.json</t>
  </si>
  <si>
    <t>ATLCOUNCIL_10-ai-generates-new-policy-risk.json</t>
  </si>
  <si>
    <t>ATLCOUNCIL_10-event-recap-data-human-rights-speech-and-privacy.json</t>
  </si>
  <si>
    <t>ATLCOUNCIL_10-event-recap-tech-and-data-recommendations-2.json</t>
  </si>
  <si>
    <t>ATLCOUNCIL_10-navigating-the-new-reality-of-international-ai-policy.json</t>
  </si>
  <si>
    <t>ATLCOUNCIL_10-vaccine-hesitancy-part-1.json</t>
  </si>
  <si>
    <t>ATLCOUNCIL_10-video-recap-future-of-data-and-ai-in-space.json</t>
  </si>
  <si>
    <t>CENIA_balance-2022-firmado-1.pdf</t>
  </si>
  <si>
    <t>F1_IA_y_Capacidades_Estrategicas/CENIA/pdfs</t>
  </si>
  <si>
    <t>CENIA_balance-2024-cenia-firmado.pdf</t>
  </si>
  <si>
    <t>CENIA_balance-cenia-2023-firmado-1.pdf</t>
  </si>
  <si>
    <t>CENIA_capacitacion-cuprum.json</t>
  </si>
  <si>
    <t>F1_IA_y_Capacidades_Estrategicas/CENIA/paginas</t>
  </si>
  <si>
    <t>CENIA_capacitacion-y-formacion.json</t>
  </si>
  <si>
    <t>CENIA_cenia.json</t>
  </si>
  <si>
    <t>CENIA_convenio-eqy250001-cenia-eqy250001-30264-compressed.pdf</t>
  </si>
  <si>
    <t>CENIA_dates.json</t>
  </si>
  <si>
    <t>CENIA_diplomado-ia.json</t>
  </si>
  <si>
    <t>CENIA_dpj-500674644740-325343.pdf</t>
  </si>
  <si>
    <t>CENIA_estados-resultados-cenia-historico-1-1.pdf</t>
  </si>
  <si>
    <t>CENIA_fechas.json</t>
  </si>
  <si>
    <t>CENIA_gerencia.json</t>
  </si>
  <si>
    <t>CENIA_ia-digital-flow-entel.json</t>
  </si>
  <si>
    <t>CENIA_investigacion.json</t>
  </si>
  <si>
    <t>CENIA_lineas-de-investigacion.json</t>
  </si>
  <si>
    <t>CENIA_memoria-anual-2024.pdf</t>
  </si>
  <si>
    <t>CENIA_memoria-anual-cenia-2023.pdf</t>
  </si>
  <si>
    <t>CENIA_memoria-cenia-2022.pdf</t>
  </si>
  <si>
    <t>CENIA_operaciones.json</t>
  </si>
  <si>
    <t>CENIA_paper-112.pdf</t>
  </si>
  <si>
    <t>CENIA_research-lines.json</t>
  </si>
  <si>
    <t>CENIA_research.json</t>
  </si>
  <si>
    <t>CENIA_resolucion-de-subsidio-innova-exenta-electronica-24cvi-26468.pdf</t>
  </si>
  <si>
    <t>CENIA_resumen-anid.pdf</t>
  </si>
  <si>
    <t>CENIA_transferencia.json</t>
  </si>
  <si>
    <t>CENIA_transparencia.json</t>
  </si>
  <si>
    <t>CSET_center-for-security-and-emerging-technology-10.pdf</t>
  </si>
  <si>
    <t>F1_IA_y_Capacidades_Estrategicas/CSET_Georgetown/pdfs/Reports</t>
  </si>
  <si>
    <t>F1_IA_y_Capacidades_Estrategicas/CSET_Georgetown/pdfs/Translation</t>
  </si>
  <si>
    <t>CSET_center-for-security-and-emerging-technology-11.pdf</t>
  </si>
  <si>
    <t>CSET_center-for-security-and-emerging-technology-12.pdf</t>
  </si>
  <si>
    <t>CSET_center-for-security-and-emerging-technology-13.pdf</t>
  </si>
  <si>
    <t>CSET_center-for-security-and-emerging-technology-14.pdf</t>
  </si>
  <si>
    <t>CSET_center-for-security-and-emerging-technology-15.pdf</t>
  </si>
  <si>
    <t>CSET_center-for-security-and-emerging-technology-16.pdf</t>
  </si>
  <si>
    <t>CSET_center-for-security-and-emerging-technology-17.pdf</t>
  </si>
  <si>
    <t>CSET_center-for-security-and-emerging-technology-18.pdf</t>
  </si>
  <si>
    <t>CSET_center-for-security-and-emerging-technology-19.pdf</t>
  </si>
  <si>
    <t>CSET_center-for-security-and-emerging-technology-2.pdf</t>
  </si>
  <si>
    <t>F1_IA_y_Capacidades_Estrategicas/CSET_Georgetown/pdfs/Annual_Report</t>
  </si>
  <si>
    <t>F1_IA_y_Capacidades_Estrategicas/CSET_Georgetown/pdfs/Data_Snapshot</t>
  </si>
  <si>
    <t>F1_IA_y_Capacidades_Estrategicas/CSET_Georgetown/pdfs/Formal_Response</t>
  </si>
  <si>
    <t>F1_IA_y_Capacidades_Estrategicas/CSET_Georgetown/pdfs/Testimony</t>
  </si>
  <si>
    <t>CSET_center-for-security-and-emerging-technology-20.pdf</t>
  </si>
  <si>
    <t>CSET_center-for-security-and-emerging-technology-21.pdf</t>
  </si>
  <si>
    <t>CSET_center-for-security-and-emerging-technology-22.pdf</t>
  </si>
  <si>
    <t>CSET_center-for-security-and-emerging-technology-23.pdf</t>
  </si>
  <si>
    <t>CSET_center-for-security-and-emerging-technology-24.pdf</t>
  </si>
  <si>
    <t>CSET_center-for-security-and-emerging-technology-25.pdf</t>
  </si>
  <si>
    <t>CSET_center-for-security-and-emerging-technology-26.pdf</t>
  </si>
  <si>
    <t>CSET_center-for-security-and-emerging-technology-27.pdf</t>
  </si>
  <si>
    <t>CSET_center-for-security-and-emerging-technology-28.pdf</t>
  </si>
  <si>
    <t>CSET_center-for-security-and-emerging-technology-29.pdf</t>
  </si>
  <si>
    <t>CSET_center-for-security-and-emerging-technology-3.pdf</t>
  </si>
  <si>
    <t>CSET_center-for-security-and-emerging-technology-30.pdf</t>
  </si>
  <si>
    <t>CSET_center-for-security-and-emerging-technology-31.pdf</t>
  </si>
  <si>
    <t>CSET_center-for-security-and-emerging-technology-32.pdf</t>
  </si>
  <si>
    <t>CSET_center-for-security-and-emerging-technology-33.pdf</t>
  </si>
  <si>
    <t>CSET_center-for-security-and-emerging-technology-34.pdf</t>
  </si>
  <si>
    <t>CSET_center-for-security-and-emerging-technology-35.pdf</t>
  </si>
  <si>
    <t>CSET_center-for-security-and-emerging-technology-36.pdf</t>
  </si>
  <si>
    <t>CSET_center-for-security-and-emerging-technology-37.pdf</t>
  </si>
  <si>
    <t>CSET_center-for-security-and-emerging-technology-38.pdf</t>
  </si>
  <si>
    <t>CSET_center-for-security-and-emerging-technology-39.pdf</t>
  </si>
  <si>
    <t>CSET_center-for-security-and-emerging-technology-4.pdf</t>
  </si>
  <si>
    <t>CSET_center-for-security-and-emerging-technology-40.pdf</t>
  </si>
  <si>
    <t>CSET_center-for-security-and-emerging-technology-41.pdf</t>
  </si>
  <si>
    <t>CSET_center-for-security-and-emerging-technology-42.pdf</t>
  </si>
  <si>
    <t>CSET_center-for-security-and-emerging-technology-43.pdf</t>
  </si>
  <si>
    <t>CSET_center-for-security-and-emerging-technology-44.pdf</t>
  </si>
  <si>
    <t>CSET_center-for-security-and-emerging-technology-45.pdf</t>
  </si>
  <si>
    <t>CSET_center-for-security-and-emerging-technology-46.pdf</t>
  </si>
  <si>
    <t>CSET_center-for-security-and-emerging-technology-47.pdf</t>
  </si>
  <si>
    <t>CSET_center-for-security-and-emerging-technology-48.pdf</t>
  </si>
  <si>
    <t>CSET_center-for-security-and-emerging-technology-49.pdf</t>
  </si>
  <si>
    <t>CSET_center-for-security-and-emerging-technology-5.pdf</t>
  </si>
  <si>
    <t>CSET_center-for-security-and-emerging-technology-50.pdf</t>
  </si>
  <si>
    <t>CSET_center-for-security-and-emerging-technology-51.pdf</t>
  </si>
  <si>
    <t>CSET_center-for-security-and-emerging-technology-52.pdf</t>
  </si>
  <si>
    <t>CSET_center-for-security-and-emerging-technology-53.pdf</t>
  </si>
  <si>
    <t>CSET_center-for-security-and-emerging-technology-54.pdf</t>
  </si>
  <si>
    <t>CSET_center-for-security-and-emerging-technology-55.pdf</t>
  </si>
  <si>
    <t>CSET_center-for-security-and-emerging-technology-56.pdf</t>
  </si>
  <si>
    <t>CSET_center-for-security-and-emerging-technology-57.pdf</t>
  </si>
  <si>
    <t>CSET_center-for-security-and-emerging-technology-58.pdf</t>
  </si>
  <si>
    <t>CSET_center-for-security-and-emerging-technology-59.pdf</t>
  </si>
  <si>
    <t>CSET_center-for-security-and-emerging-technology-6.pdf</t>
  </si>
  <si>
    <t>CSET_center-for-security-and-emerging-technology-60.pdf</t>
  </si>
  <si>
    <t>CSET_center-for-security-and-emerging-technology-61.pdf</t>
  </si>
  <si>
    <t>CSET_center-for-security-and-emerging-technology-7.pdf</t>
  </si>
  <si>
    <t>CSET_center-for-security-and-emerging-technology-8.pdf</t>
  </si>
  <si>
    <t>CSET_center-for-security-and-emerging-technology-9.pdf</t>
  </si>
  <si>
    <t>CSET_center-for-security-and-emerging-technology.pdf</t>
  </si>
  <si>
    <t>F1_IA_y_Capacidades_Estrategicas/CSET_Georgetown/pdfs/Data_Brief</t>
  </si>
  <si>
    <t>DAIO_beware-the-hype.pdf</t>
  </si>
  <si>
    <t>F1_IA_y_Capacidades_Estrategicas/DAIO/daio_pdfs/pdfs</t>
  </si>
  <si>
    <t>DAIO_catalog-2.csv</t>
  </si>
  <si>
    <t>F1_IA_y_Capacidades_Estrategicas/DAIO/daio_pdfs</t>
  </si>
  <si>
    <t>DAIO_catalog-2.json</t>
  </si>
  <si>
    <t>DAIO_study2202-2.pdf</t>
  </si>
  <si>
    <t>DAIO_study2203-2.pdf</t>
  </si>
  <si>
    <t>DAIO_study2204-2.pdf</t>
  </si>
  <si>
    <t>DAIO_study2205-2.pdf</t>
  </si>
  <si>
    <t>DAIO_study2206-2.pdf</t>
  </si>
  <si>
    <t>DAIO_study2307-2.pdf</t>
  </si>
  <si>
    <t>DAIO_study2308-2.pdf</t>
  </si>
  <si>
    <t>DAIO_study2309-2.pdf</t>
  </si>
  <si>
    <t>DAIO_study2310-2.pdf</t>
  </si>
  <si>
    <t>DAIO_study2311-2.pdf</t>
  </si>
  <si>
    <t>DAIO_study2312-master-and-servant-borchert-schuetz-verbovszky.pdf</t>
  </si>
  <si>
    <t>DAIO_study2313-overtaking-on-the-curve-john-lee.pdf</t>
  </si>
  <si>
    <t>DAIO_study2314-a-fertile-soil-for-ai-alastair-finlan.pdf</t>
  </si>
  <si>
    <t>DAIO_study2315-embracing-the-organized-mess-dolinko-antebi.pdf</t>
  </si>
  <si>
    <t>DAIO_study2316-cautious-data-driven-evolution-sami-jaervinen.pdf</t>
  </si>
  <si>
    <t>DAIO_study2317-a-winding-road-before-scaling-up-kevin-martin-lucie-liversain.pdf</t>
  </si>
  <si>
    <t>DAIO_study2318-servers-before-tanks-andreas-graae.pdf</t>
  </si>
  <si>
    <t>DAIO_study2319-harnessing-the-potential-karampekios-sakalis-oikonomou.pdf</t>
  </si>
  <si>
    <t>DAIO_study2421-will-the-one-ring-hold-youngwook-park.pdf</t>
  </si>
  <si>
    <t>DAIO_study2422-survival-of-the-smartest-vitaliy-goncharuk.pdf</t>
  </si>
  <si>
    <t>DAIO_study2423-overcoming-the-long-shadow-of-the-past-motohiro-tsuchiya.pdf</t>
  </si>
  <si>
    <t>DAIO_study2424-intelligent-national-defense-amid-strategic-ambiguity-kitsch-liao.pdf</t>
  </si>
  <si>
    <t>DAIO_study2425-heavy-thunder-no-rain-mahmoud-javadi.pdf</t>
  </si>
  <si>
    <t>DAIO_study2426-his-hands-cant-hit-what-his-eyes-cant-see-borchert-brandlhuber.pdf</t>
  </si>
  <si>
    <t>DAIO_study2527-thinking-before-sinking-borchert-brandlhuber-dzaack.pdf</t>
  </si>
  <si>
    <t>DAIO_study2528-an-underdeveloped-strategic-necessity-umaima-ali.pdf</t>
  </si>
  <si>
    <t>DAIO_study2529-guarding-the-alliances-eastern-frontiers-lipka-wernik-dziegiel.pdf</t>
  </si>
  <si>
    <t>DAIO_study2530-bonds-that-separate-heiko-borchert.pdf</t>
  </si>
  <si>
    <t>DAIO_study2531-a-careful-walk-on-thin-ice-emanuel-ario-bimo-bagus-jatmiko.pdf</t>
  </si>
  <si>
    <t>DAIO_study2632-from-laggard-to-potential-regional-innovator-raluca-csernatoni.pdf</t>
  </si>
  <si>
    <t>DAIO_study2633-controlled-adaptation-and-integration-daniel-fiott.pdf</t>
  </si>
  <si>
    <t>DAIO_study2634-fragmented-efforts-joao-paulo-moralez-santiago-rivas.pdf</t>
  </si>
  <si>
    <t>DEFENSA21_articulos-2.json</t>
  </si>
  <si>
    <t>F1_IA_y_Capacidades_Estrategicas/Defensa21_LatAm/defensa21_data</t>
  </si>
  <si>
    <t>DEFENSA21_catalog-2.json</t>
  </si>
  <si>
    <t>ILIA_2023.pdf</t>
  </si>
  <si>
    <t>F1_IA_y_Capacidades_Estrategicas/ILIA_Latam/pdfs/ILIA_2023</t>
  </si>
  <si>
    <t>ILIA_2024-020125-compressed.pdf</t>
  </si>
  <si>
    <t>F1_IA_y_Capacidades_Estrategicas/ILIA_Latam/pdfs/ILIA_2024</t>
  </si>
  <si>
    <t>ILIA_2024.pdf</t>
  </si>
  <si>
    <t>ILIA_2025-executive-summary.pdf</t>
  </si>
  <si>
    <t>F1_IA_y_Capacidades_Estrategicas/ILIA_Latam/pdfs/ILIA_2025</t>
  </si>
  <si>
    <t>ILIA_2025.-fichas-de-pais-y-aspectos-metodologicos.pdf</t>
  </si>
  <si>
    <t>ILIA_2025.-hallazgos-principales-ia-aplicada-y-talento-humano-compressed.pdf</t>
  </si>
  <si>
    <t>ILIA_2025.-key-findings-applied-artificial-intelligence-and-human-talent-compressed.pdf</t>
  </si>
  <si>
    <t>ILIA_docuemnto-ilia-web.pdf</t>
  </si>
  <si>
    <t>ILIA_documento-ilia-2025.pdf</t>
  </si>
  <si>
    <t>ILIA_esp-compressed.pdf</t>
  </si>
  <si>
    <t>RUTAN_catalog-2.csv</t>
  </si>
  <si>
    <t>F1_IA_y_Capacidades_Estrategicas/RutaN_GEIAL/rutan_pdfs</t>
  </si>
  <si>
    <t>RUTAN_catalog-2.json</t>
  </si>
  <si>
    <t>RUTAN_informe-geial-latam.pdf</t>
  </si>
  <si>
    <t>F1_IA_y_Capacidades_Estrategicas/RutaN_GEIAL/pdfs/Observatorio</t>
  </si>
  <si>
    <t>RUTAN_informe-geial-medellin.pdf</t>
  </si>
  <si>
    <t>RUTAN_resultados-encuesta-innovacion.pdf</t>
  </si>
  <si>
    <t>RUTAN_s2200488-es.pdf</t>
  </si>
  <si>
    <t>RUTAN_socializacion-geial-medellin.pdf</t>
  </si>
  <si>
    <t>F2</t>
  </si>
  <si>
    <t>CSIS_0103space.pdf</t>
  </si>
  <si>
    <t>F2_Seguridad_Entorno_Espacial/CSIS_Aerospace/pdfs_full/Otros</t>
  </si>
  <si>
    <t>CSIS_032321-harrisonjohnsonyoung-defenseagainstdarkartsinspace-report-update-compressed.pdf</t>
  </si>
  <si>
    <t>CSIS_05172018-babin-opening-leo.pdf</t>
  </si>
  <si>
    <t>CSIS_130223-mv-spacenuclearanalysis.pdf</t>
  </si>
  <si>
    <t>CSIS_181017-usmissiledefense.pdf</t>
  </si>
  <si>
    <t>CSIS_181018-roberts-24satellitesmissiledefense.pdf</t>
  </si>
  <si>
    <t>CSIS_181119-harrison-spaceforce-layout-final.pdf</t>
  </si>
  <si>
    <t>CSIS_190313-spaceportsoftheworld.pdf</t>
  </si>
  <si>
    <t>CSIS_190425-harrison-chinaspace.pdf</t>
  </si>
  <si>
    <t>CSIS_190626-johnson-spaceforcelegislation-layout-v1.pdf</t>
  </si>
  <si>
    <t>CSIS_191029-harrison-airforceofthefuture-web4.pdf</t>
  </si>
  <si>
    <t>CSIS_191107-dwyer-beyondthebuzzwords-final.pdf</t>
  </si>
  <si>
    <t>CSIS_20160005961.pdf</t>
  </si>
  <si>
    <t>CSIS_2018-06-01-podcast-a-behind-the-scenes-look-at-space-threats.json</t>
  </si>
  <si>
    <t>F2_Seguridad_Entorno_Espacial/CSIS_Aerospace/articulos</t>
  </si>
  <si>
    <t>CSIS_2018-06-19-how-does-space-policy-directive-3-affect-space-traffic-management.json</t>
  </si>
  <si>
    <t>CSIS_2018-06-22-podcast-trumps-space-force-and-turkeys-elections.json</t>
  </si>
  <si>
    <t>CSIS_2018-07-02-why-a-space-based-missile-interceptor-system-is-not-viable.json</t>
  </si>
  <si>
    <t>CSIS_2018-07-31-beyond-the-glass-ceiling-why-nasa-must-continue-to-launch-a-diverse-astron.json</t>
  </si>
  <si>
    <t>CSIS_2018-08-07-unmanned-aerial-systems-influences-on-conflict-escalation-dynamics.json</t>
  </si>
  <si>
    <t>CSIS_2018-09-17-the-sixth-service-what-the-reorganization-of-special-operations-forces-can.json</t>
  </si>
  <si>
    <t>CSIS_2018-09-25-understanding-national-security-space.json</t>
  </si>
  <si>
    <t>CSIS_2018-10-03-why-a-space-force-can-wait.json</t>
  </si>
  <si>
    <t>CSIS_2018-10-03-why-we-need-a-space-force.json</t>
  </si>
  <si>
    <t>CSIS_2018-10-17-u-s-missile-defense-and-the-theater-strategic-nexus.json</t>
  </si>
  <si>
    <t>CSIS_2018-10-18-what-can-24-satellites-do-for-u-s-missile-defense.json</t>
  </si>
  <si>
    <t>CSIS_2018-11-19-how-much-will-the-space-force-cost.json</t>
  </si>
  <si>
    <t>CSIS_2018-11-27-a-space-force-is-worth-the-price.json</t>
  </si>
  <si>
    <t>CSIS_2018-12-03-so-whats-the-big-deal-about-mars-insight.json</t>
  </si>
  <si>
    <t>CSIS_2018-12-21-bad-idea-conflating-the-space-force-with-nasa.json</t>
  </si>
  <si>
    <t>CSIS_2019-02-20-how-does-space-policy-directive-4-reorganize-u-s-military-space-operations.json</t>
  </si>
  <si>
    <t>CSIS_2019-03-01-is-the-white-house-planning-to-hold-the-space-station-hostage.json</t>
  </si>
  <si>
    <t>CSIS_2019-03-13-spaceports-of-the-world.json</t>
  </si>
  <si>
    <t>CSIS_2019-04-04-deaf-dumb-blind-and-impotent-in-space.json</t>
  </si>
  <si>
    <t>CSIS_2019-04-04-report-space-threat-assessment-2019.json</t>
  </si>
  <si>
    <t>CSIS_2019-04-04-space-threat-assessment-2019.json</t>
  </si>
  <si>
    <t>CSIS_2019-04-11-commanding-space-story-behind-the-space-force.json</t>
  </si>
  <si>
    <t>CSIS_2019-04-25-congressional-testimony-china-in-space.json</t>
  </si>
  <si>
    <t>CSIS_2019-04-26-video-china-in-space-a-strategic-competition.json</t>
  </si>
  <si>
    <t>CSIS_2019-06-27-space-force-or-space-corps-competing-visions-for-a-new-military-service.json</t>
  </si>
  <si>
    <t>CSIS_2019-07-23-to-the-moon-in-five-years-understanding-nasas-artemis-program.json</t>
  </si>
  <si>
    <t>CSIS_2019-07-30-the-risks-a-war-in-space-poses-for-nuclear-stability-on-earth.json</t>
  </si>
  <si>
    <t>CSIS_2019-08-28-what-does-the-trump-administrations-new-memorandum-mean-for-nuclear-powere.json</t>
  </si>
  <si>
    <t>CSIS_2019-10-29-report-the-air-force-of-the-future.json</t>
  </si>
  <si>
    <t>CSIS_2019-11-11-how-the-air-force-can-save-30-billion.json</t>
  </si>
  <si>
    <t>CSIS_2019-11-18-the-air-force-digital-century-series-beyond-the-buzzwords.json</t>
  </si>
  <si>
    <t>CSIS_2019-12-19-congress-approved-the-space-force-now-what.json</t>
  </si>
  <si>
    <t>CSIS_2020-03-29-a-foreword-to-space-threat-assessment-2020.json</t>
  </si>
  <si>
    <t>CSIS_2020-03-30-report-space-threat-assessment-2020.json</t>
  </si>
  <si>
    <t>CSIS_2020-03-30-space-threat-assessment-2020.json</t>
  </si>
  <si>
    <t>CSIS_2020-05-05-what-the-fcc-ligado-approval-means-for-u-s-military-systems.json</t>
  </si>
  <si>
    <t>CSIS_2020-05-15-itar-satellite-regulation.json</t>
  </si>
  <si>
    <t>CSIS_2020-05-27-international-perspectives-on-space-weapons.json</t>
  </si>
  <si>
    <t>CSIS_2020-06-24-challenges-and-opportunities-of-nigerias-space-policy.json</t>
  </si>
  <si>
    <t>CSIS_2020-07-13-strategic-interest-in-cislunar-space-and-the-moon.json</t>
  </si>
  <si>
    <t>CSIS_2020-09-01-key-governance-issues-in-space.json</t>
  </si>
  <si>
    <t>CSIS_2020-09-14-how-does-space-policy-directive-5-change-cybersecurity-principles-for-spac.json</t>
  </si>
  <si>
    <t>CSIS_2020-10-15-exploring-insights-from-new-space-agencies.json</t>
  </si>
  <si>
    <t>CSIS_2020-10-26-a-balance-of-instability-effects-of-a-direct-ascent-anti-satellite-weapons.json</t>
  </si>
  <si>
    <t>CSIS_2020-10-29-cross-domain-competition-how-organizational-stovepipes-create-risks-for-sh.json</t>
  </si>
  <si>
    <t>CSIS_2020-gwu-exploringinsights-final-2nd-edits-101920-compressed.pdf</t>
  </si>
  <si>
    <t>CSIS_20200714-kaplan-cislunar-final.pdf</t>
  </si>
  <si>
    <t>CSIS_2021-02-10-the-need-for-innovation-and-continuity-in-national-security-space-during-t.json</t>
  </si>
  <si>
    <t>CSIS_2021-02-10-to-infinity-and-beyond-civil-and-commercial-space-policy-in-the-biden-admi.json</t>
  </si>
  <si>
    <t>CSIS_2021-02-26-defense-against-the-dark-arts-in-space.json</t>
  </si>
  <si>
    <t>CSIS_2021-03-03-rethinking-the-role-of-remotely-crewed-systems-in-the-future-force.json</t>
  </si>
  <si>
    <t>CSIS_2021-03-31-counterspace-timeline.json</t>
  </si>
  <si>
    <t>CSIS_2021-04-01-space-threat-assessment-2021.json</t>
  </si>
  <si>
    <t>CSIS_2021-08-05-battle-networks-and-the-future-force.json</t>
  </si>
  <si>
    <t>CSIS_2021-09-16-on-orbit-servicing.json</t>
  </si>
  <si>
    <t>CSIS_2021-09-21-congressional-testimony-nasas-future-in-low-earth-orbit.json</t>
  </si>
  <si>
    <t>CSIS_2021-11-03-battle-networks-and-the-future-force-part-2.json</t>
  </si>
  <si>
    <t>CSIS_2021-12-07-indian-space-policy-for-the-private-sector.json</t>
  </si>
  <si>
    <t>CSIS_20210914-duke-osam.pdf</t>
  </si>
  <si>
    <t>CSIS_2022-01-11-asat-prisoners-dilemma.json</t>
  </si>
  <si>
    <t>CSIS_2022-01-12-the-problem-of-orbital-debris.json</t>
  </si>
  <si>
    <t>CSIS_2022-02-02-commercial-space-remote-sensing-and-its-role-in-national-security.json</t>
  </si>
  <si>
    <t>CSIS_2022-02-04-china-russia-joint-statement-international-relations-entering-a-new-era.pdf</t>
  </si>
  <si>
    <t>CSIS_2022-02-15-fly-me-to-the-moon-worldwide-cislunar-and-lunar-missions.json</t>
  </si>
  <si>
    <t>CSIS_2022-03-04-battle-networks-and-the-future-force-part-3.json</t>
  </si>
  <si>
    <t>CSIS_2022-03-04-battlenetworks.json</t>
  </si>
  <si>
    <t>CSIS_2022-04-04-space-threat-assessment-2022.json</t>
  </si>
  <si>
    <t>CSIS_2022-06-02-save-the-last-dance-for-the-international-space-station.json</t>
  </si>
  <si>
    <t>CSIS_2022-07-25-the-private-sectors-assessment-of-u-s-space-policy-and-law.json</t>
  </si>
  <si>
    <t>CSIS_2022-12-14-low-orbit-high-stakes-all-in-on-the-leo-broadband-competition.json</t>
  </si>
  <si>
    <t>CSIS_2022-12-22-us-space-force-primer.json</t>
  </si>
  <si>
    <t>CSIS_2022-iss-transition-report-final-tagged.pdf</t>
  </si>
  <si>
    <t>CSIS_2022-national-defense-strategy-npr-mdr.pdf</t>
  </si>
  <si>
    <t>CSIS_2023-01-13-u-s-space-based-nuclear-command-and-control-a-guide.json</t>
  </si>
  <si>
    <t>CSIS_2023-02-02-congressional-testimony-launching-into-the-state-of-the-satellite-marketpl.json</t>
  </si>
  <si>
    <t>CSIS_2023-04-14-space-threat-assessment-2023.json</t>
  </si>
  <si>
    <t>CSIS_2023-05-30-does-the-fy24-budget-request-reflect-defense-priorities.json</t>
  </si>
  <si>
    <t>CSIS_2023-08-30-another-leap-forward-indias-historic-moon-landing-and-the-space-competitio.json</t>
  </si>
  <si>
    <t>CSIS_20230202-testimony-to-house-e-c-comms-and-tech-subcomm-csis-bingen.pdf</t>
  </si>
  <si>
    <t>CSIS_2024-01-11-mission-authorization-decoding-the-space-policy-dilemma.json</t>
  </si>
  <si>
    <t>CSIS_2024-01-19-no-place-to-hide-a-look-into-chinas-geosynchronous-surveillance-capabiliti.json</t>
  </si>
  <si>
    <t>CSIS_2024-03-12-the-pitfalls-of-labeling-whole-space-missions-as-inherently-governmental.json</t>
  </si>
  <si>
    <t>CSIS_2024-03-14-the-evolution-of-french-space-security.json</t>
  </si>
  <si>
    <t>CSIS_2024-04-17-space-threat-assessment-2024.json</t>
  </si>
  <si>
    <t>CSIS_2024-05-06-u-s-civil-space-primer.json</t>
  </si>
  <si>
    <t>CSIS_2024-05-15-2024-priorities-for-the-intelligence-community.json</t>
  </si>
  <si>
    <t>CSIS_2024-05-17-pedal-to-the-metal-accelerating-pentagon-integration-of-commercial-space.json</t>
  </si>
  <si>
    <t>CSIS_2024-06-28-is-there-a-path-to-counter-russias-space-weapons.json</t>
  </si>
  <si>
    <t>CSIS_2024-07-09-what-can-we-learn-from-ariane-for-future-space-partnerships.json</t>
  </si>
  <si>
    <t>CSIS_2024-07-30-why-did-china-and-russia-stage-a-joint-bomber-exercise-near-alaska.json</t>
  </si>
  <si>
    <t>CSIS_2024-08-19-why-hasnt-starliner-returned.json</t>
  </si>
  <si>
    <t>CSIS_2024-08-23-from-earth-to-uchu-japanese-translation-e59cb0e79083e3818be38289e5ae87e5ae.json</t>
  </si>
  <si>
    <t>CSIS_2024-08-23-from-earth-to-uchu-the-evolution-of-japans-space-security-policy-and-a-blu.json</t>
  </si>
  <si>
    <t>CSIS_2024-10-01-gold-rush-the-2024-commercial-remote-sensing-global-rankings.json</t>
  </si>
  <si>
    <t>CSIS_2024-10-21-salmon-swimming-upstream-charting-a-course-in-cislunar-space.json</t>
  </si>
  <si>
    <t>CSIS_2024-10-31-space-in-focus.json</t>
  </si>
  <si>
    <t>CSIS_2024-11-08-why-did-south-korea-create-a-new-space-agency.json</t>
  </si>
  <si>
    <t>CSIS_2024-24091.pdf</t>
  </si>
  <si>
    <t>CSIS_2024-architecture-executive-overview.pdf</t>
  </si>
  <si>
    <t>CSIS_2024-dod-commercial-space-integration-strategy.pdf</t>
  </si>
  <si>
    <t>CSIS_2025-03-05-protecting-the-homeland-the-iron-dome-for-america.json</t>
  </si>
  <si>
    <t>CSIS_2025-03-14-bringing-the-private-sector-to-space.json</t>
  </si>
  <si>
    <t>CSIS_2025-03-14-missile-technology-control-regime-reform-key-changes-and-next-steps.json</t>
  </si>
  <si>
    <t>CSIS_2025-03-14-why-should-the-united-states-prioritize-mars.json</t>
  </si>
  <si>
    <t>CSIS_2025-03-17-u-s-leadership-in-lunar-spectrum-policy.json</t>
  </si>
  <si>
    <t>CSIS_2025-04-10-next-steps-for-the-u-s-japan-space-alliance.json</t>
  </si>
  <si>
    <t>CSIS_2025-04-10-the-future-of-military-power-is-space-power.json</t>
  </si>
  <si>
    <t>CSIS_2025-04-25-space-threat-assessment-2025.json</t>
  </si>
  <si>
    <t>CSIS_2025-10-06-what-will-international-partnerships-look-like-post-international-space-st.json</t>
  </si>
  <si>
    <t>CSIS_2026-04-20-artemis-rewritten-nasas-new-moon-plan-its-risks-and-whether-the-u-s-can-st.json</t>
  </si>
  <si>
    <t>CSIS_210303-harrison-crewed-systems.pdf</t>
  </si>
  <si>
    <t>CSIS_210709-weitz-chinese-russian-exercises.pdf</t>
  </si>
  <si>
    <t>CSIS_210805-harrison-battlenetworks-partone.pdf</t>
  </si>
  <si>
    <t>CSIS_211103-harrison-battle-networks-part2-compressed.pdf</t>
  </si>
  <si>
    <t>CSIS_220202-harrison-commercial-space-compressed.pdf</t>
  </si>
  <si>
    <t>CSIS_220215-johnson-flyme-moon-web.pdf</t>
  </si>
  <si>
    <t>CSIS_221214-young-loworbit-highstakes-min.pdf</t>
  </si>
  <si>
    <t>CSIS_230414-bingen-space-assessment.pdf</t>
  </si>
  <si>
    <t>F2_Seguridad_Entorno_Espacial/CSIS_Aerospace/pdfs_full/Space_Threat_Assessment</t>
  </si>
  <si>
    <t>CSIS_230414-bingen-spacethreatassessment-2023-updated-min.pdf</t>
  </si>
  <si>
    <t>CSIS_240314-young-french-space.pdf</t>
  </si>
  <si>
    <t>CSIS_240417-swope-space-threat-0.pdf</t>
  </si>
  <si>
    <t>CSIS_240417-swope-spacethreatassessment-2024.pdf</t>
  </si>
  <si>
    <t>CSIS_240503-stewart-nuclear-option.pdf</t>
  </si>
  <si>
    <t>CSIS_240823-bingen-earth-uchu-min.pdf</t>
  </si>
  <si>
    <t>CSIS_241001-bingen-gold-rush-min.pdf</t>
  </si>
  <si>
    <t>CSIS_241021-swope-swimmimg-upstream-0-compressed.pdf</t>
  </si>
  <si>
    <t>CSIS_25-mccabe.pdf</t>
  </si>
  <si>
    <t>CSIS_250425-swope-space-threat.pdf</t>
  </si>
  <si>
    <t>CSIS_250515-bingen-intelligence-priorities.pdf</t>
  </si>
  <si>
    <t>CSIS_2kaitlyn-a-balance-of-instability.pdf</t>
  </si>
  <si>
    <t>CSIS_3.5.25-irondome-1.pdf</t>
  </si>
  <si>
    <t>CSIS_675694.pdf</t>
  </si>
  <si>
    <t>CSIS_678697.pdf</t>
  </si>
  <si>
    <t>CSIS_91333.pdf</t>
  </si>
  <si>
    <t>CSIS_a76-incl-tech-correction.pdf</t>
  </si>
  <si>
    <t>CSIS_agoessler-the-private-sectors-assessment-of-u.s.-space-policy-and-law.pdf</t>
  </si>
  <si>
    <t>CSIS_allardcommission.pdf</t>
  </si>
  <si>
    <t>CSIS_another-leap-forward-indias-historic-moon-landing-and-the-space-competition-unde.pdf</t>
  </si>
  <si>
    <t>CSIS_asat-test-ban-min.pdf</t>
  </si>
  <si>
    <t>CSIS_ata-2024-unclassified-report.pdf</t>
  </si>
  <si>
    <t>CSIS_battle-networks-3-compressed.pdf</t>
  </si>
  <si>
    <t>CSIS_bills-115hr2810eh.pdf</t>
  </si>
  <si>
    <t>CSIS_bingen-earth-uchu-japanese-0120025final.pdf</t>
  </si>
  <si>
    <t>CSIS_bradley-kasa-final.pdf</t>
  </si>
  <si>
    <t>CSIS_c8ea8c3bc071c03e5e83203b4060f784.mr.-william-gerstenmaier-testimony.pdf</t>
  </si>
  <si>
    <t>CSIS_catalog-2.csv</t>
  </si>
  <si>
    <t>F2_Seguridad_Entorno_Espacial/CSIS_Aerospace/csis_pdfs</t>
  </si>
  <si>
    <t>CSIS_catalog-2.json</t>
  </si>
  <si>
    <t>CSIS_chance-saltzman-testimony.pdf</t>
  </si>
  <si>
    <t>CSIS_chandra-artemis-rewritten.pdf</t>
  </si>
  <si>
    <t>CSIS_cheng-uscc-testimony-final.pdf</t>
  </si>
  <si>
    <t>CSIS_civil-space-primer-mchang-min.pdf</t>
  </si>
  <si>
    <t>CSIS_csla-report-4-4-16-final.pdf</t>
  </si>
  <si>
    <t>CSIS_debris-in-brief-factsheet.pdf</t>
  </si>
  <si>
    <t>CSIS_dolman.pdf</t>
  </si>
  <si>
    <t>CSIS_dsb-commercial-space-final-report-forpublicrelease.pdf</t>
  </si>
  <si>
    <t>CSIS_dwyer-nuclearnexus-cross-domain-competition1.pdf</t>
  </si>
  <si>
    <t>CSIS_fy-2019-uscg-congressional-justification.pdf</t>
  </si>
  <si>
    <t>CSIS_fy17-ndaa-1616-omb-report.pdf</t>
  </si>
  <si>
    <t>CSIS_fy19-green-book.pdf</t>
  </si>
  <si>
    <t>CSIS_fy2019-presidents-budget-nasa.pdf</t>
  </si>
  <si>
    <t>CSIS_fy2024-budget-request-overview-book.pdf</t>
  </si>
  <si>
    <t>CSIS_harrison-endgame-d360.pdf</t>
  </si>
  <si>
    <t>CSIS_harrison-intlperspectivesspaceweapons-compressed.pdf</t>
  </si>
  <si>
    <t>CSIS_harrison-spacethreatassessment20-web-final-min.pdf</t>
  </si>
  <si>
    <t>CSIS_harrison-spacethreatassessment2021.pdf</t>
  </si>
  <si>
    <t>CSIS_harrison-spacethreatassessment2022-web-v3-compressed.pdf</t>
  </si>
  <si>
    <t>CSIS_how-the-air-force-can-save-30-billion.pdf</t>
  </si>
  <si>
    <t>CSIS_iac-16b121x33088.brief.pdf</t>
  </si>
  <si>
    <t>CSIS_ig-21-004.pdf</t>
  </si>
  <si>
    <t>CSIS_ig-22-007.pdf</t>
  </si>
  <si>
    <t>CSIS_iss-johnson-csis-october-2025.pdf</t>
  </si>
  <si>
    <t>CSIS_iss-transition-report-180330.pdf</t>
  </si>
  <si>
    <t>CSIS_johnson-endgame-d360.pdf</t>
  </si>
  <si>
    <t>CSIS_johnson-governanceinspace-web-final-1.pdf</t>
  </si>
  <si>
    <t>CSIS_july-22-2-space-threat-assessment-2023.json</t>
  </si>
  <si>
    <t>CSIS_kevin-wolf-testimony.pdf</t>
  </si>
  <si>
    <t>CSIS_lunar-spectrum-policy-1.pdf</t>
  </si>
  <si>
    <t>CSIS_mars-sample-return-independent-review-board-report.pdf</t>
  </si>
  <si>
    <t>CSIS_memorandum-on-space-policy-directive-5cybersecurity-principles-for-space-systems-the.pdf</t>
  </si>
  <si>
    <t>CSIS_nasa-act1958.pdf</t>
  </si>
  <si>
    <t>CSIS_nationalspaceexplorationcampaign.pdf</t>
  </si>
  <si>
    <t>CSIS_ndaa-space-force.2.pdf</t>
  </si>
  <si>
    <t>CSIS_nsc-25-scientific-or-technological-experiements-with-possible-large-scale-adverse-env.pdf</t>
  </si>
  <si>
    <t>CSIS_organizational-management-structure-dod-national-security-space-components.pdf</t>
  </si>
  <si>
    <t>CSIS_osi-international-open-letter-asats-public.pdf</t>
  </si>
  <si>
    <t>CSIS_plaw-105publ270.pdf</t>
  </si>
  <si>
    <t>CSIS_plaw-116publ92.pdf</t>
  </si>
  <si>
    <t>CSIS_pub1798-web.pdf</t>
  </si>
  <si>
    <t>CSIS_regional-perspectives-on-norms-of-behaviour-for-outer-space-activities-en-622.pdf</t>
  </si>
  <si>
    <t>CSIS_rumsfeldcommission.pdf</t>
  </si>
  <si>
    <t>CSIS_sp1235v2web.pdf</t>
  </si>
  <si>
    <t>CSIS_space-force-doctrine-document-1-final-4apr25.pdf</t>
  </si>
  <si>
    <t>CSIS_spaceforceprimer-dec22.pdf</t>
  </si>
  <si>
    <t>CSIS_spacethreatassessment2019-compressed.pdf</t>
  </si>
  <si>
    <t>CSIS_spfi13-604.pdf</t>
  </si>
  <si>
    <t>CSIS_starliner-notebook.pdf</t>
  </si>
  <si>
    <t>CSIS_todd-harrison-testimony-nasas-future-in-low-earth-orbit-9.21.21.pdf</t>
  </si>
  <si>
    <t>CSIS_ussf-commercial-space-strategy.pdf</t>
  </si>
  <si>
    <t>CSIS_white-paper22-u.s.-leadership-and-commercial-space-rf-sensing-export-controls-a-press.pdf</t>
  </si>
  <si>
    <t>CSIS_wilson-wood-southkorea-20230802.pdf</t>
  </si>
  <si>
    <t>ESA_01-04-2025-esa-space-environment-report-2025.json</t>
  </si>
  <si>
    <t>F2_Seguridad_Entorno_Espacial/ESA_Space_Debris/articulos</t>
  </si>
  <si>
    <t>ESA_02-02-2026-moving-satellites-to-meet-a-plane-for-rare-reentry-data.json</t>
  </si>
  <si>
    <t>ESA_12-08-2025-cream-avoiding-collisions-in-space-through-automation.json</t>
  </si>
  <si>
    <t>ESA_2022-espi-capacity.pdf</t>
  </si>
  <si>
    <t>F2_Seguridad_Entorno_Espacial/ESA_Space_Debris/pdfs/SDO_Publications</t>
  </si>
  <si>
    <t>ESA_21-11-2024-german-laser-ranging-company-receives-esa-innovation-award.json</t>
  </si>
  <si>
    <t>ESA_22-10-2025-sounding-the-alarm-esa-introduces-space-environment-health-index.json</t>
  </si>
  <si>
    <t>ESA_27-06-2022-esa-s-zero-debris-approach.json</t>
  </si>
  <si>
    <t>ESA_27-06-2022-the-zero-debris-charter.json</t>
  </si>
  <si>
    <t>ESA_about-space-debris.json</t>
  </si>
  <si>
    <t>ESA_active-debris-removal.json</t>
  </si>
  <si>
    <t>ESA_admin-ipol-2023-1-space-debris-mitigation-policy-final.pdf</t>
  </si>
  <si>
    <t>F2_Seguridad_Entorno_Espacial/ESA_Space_Debris/pdfs/Articulos</t>
  </si>
  <si>
    <t>ESA_analysis-and-prediction.json</t>
  </si>
  <si>
    <t>ESA_design-for-demise-verification-guidelines-v1.pdf</t>
  </si>
  <si>
    <t>F2_Seguridad_Entorno_Espacial/ESA_Space_Debris/pdfs/SDUP_Documents</t>
  </si>
  <si>
    <t>ESA_dghkmz-6542582e18e33.pdf</t>
  </si>
  <si>
    <t>ESA_environmental-report-on-space-debris-mitigation-slides.pdf</t>
  </si>
  <si>
    <t>ESA_environmental-report-on-space-debris-mitigation.pdf</t>
  </si>
  <si>
    <t>ESA_essb-hb-u-003-issue-1-8september2025.pdf</t>
  </si>
  <si>
    <t>ESA_essb-st-u-004-issue14december2017.pdf</t>
  </si>
  <si>
    <t>ESA_essb-st-u-007-issue-1-revision-1-23-october-2025.pdf</t>
  </si>
  <si>
    <t>ESA_hypervelocity-impacts-and-protecting-spacecraft.json</t>
  </si>
  <si>
    <t>ESA_mitigating-space-debris-generation.json</t>
  </si>
  <si>
    <t>ESA_reentry-and-collision-avoidance.json</t>
  </si>
  <si>
    <t>ESA_scanning-and-observing2.json</t>
  </si>
  <si>
    <t>ESA_space-debris-by-the-numbers.json</t>
  </si>
  <si>
    <t>ESA_space-debris-faq-frequently-asked-questions.json</t>
  </si>
  <si>
    <t>ESA_space-debris-mitigation-compliance-verification-guidelines.pdf</t>
  </si>
  <si>
    <t>ESA_space-environment-report-i10r0-20260501.pdf</t>
  </si>
  <si>
    <t>ESA_space-environment-report-i1r2-20170427.pdf</t>
  </si>
  <si>
    <t>ESA_space-environment-report-i2r0-20180518.pdf</t>
  </si>
  <si>
    <t>ESA_space-environment-report-i3r0-20190430.pdf</t>
  </si>
  <si>
    <t>ESA_space-environment-report-i4r0-20200911.pdf</t>
  </si>
  <si>
    <t>ESA_space-environment-report-i5r0-20210527.pdf</t>
  </si>
  <si>
    <t>ESA_space-environment-report-i6r0-20220422.pdf</t>
  </si>
  <si>
    <t>ESA_space-environment-report-i7r1-20230912.pdf</t>
  </si>
  <si>
    <t>ESA_space-environment-report-i8r0-20240719.pdf</t>
  </si>
  <si>
    <t>ESA_space-environment-report-i9r0-20250331.pdf</t>
  </si>
  <si>
    <t>ESA_space-environment-report-i9r1-20251021.pdf</t>
  </si>
  <si>
    <t>ESA_st-space-49e.pdf</t>
  </si>
  <si>
    <t>ESA_zero-debris-charter-en.pdf</t>
  </si>
  <si>
    <t>INPE_2023-10-09-inpe-portas-abertas-2023.json</t>
  </si>
  <si>
    <t>F2_Seguridad_Entorno_Espacial/INPE/noticias</t>
  </si>
  <si>
    <t>INPE_2025-10-10-brasil-e-esa-unem-forcas-em-evento-pioneiro-sobre-a-missao-biomass-na-amaz.json</t>
  </si>
  <si>
    <t>INPE_2025-11-28-inpe-amazonia-tem-papel-fundamental-na-participacao-do-instituto-durante-a.json</t>
  </si>
  <si>
    <t>INPE_2026-03-24-inpe-realizara-simposio-internacional-sobre-aprendizado-de-maquina-em-heli.json</t>
  </si>
  <si>
    <t>INPE_2026-03-26-brasil-registra-aumento-de-raios-em-todo-o-territorio-nacional.json</t>
  </si>
  <si>
    <t>INPE_2026-03-26-inpe-e-programa-mudancas-climaticas-fapesp-divulgam-relatorio-do-projeto-v.json</t>
  </si>
  <si>
    <t>INPE_2026-04-01-nova-norma-do-cmn-incorpora-dados-do-prodes-na-analise-de-credito-rural.json</t>
  </si>
  <si>
    <t>INPE_2026-04-06-pesquisador-aposentado-do-inpe-carlos-nobre-e-nomeado-conselheiro-no-vatic.json</t>
  </si>
  <si>
    <t>INPE_2026-04-15-inpe-recebe-comitiva-internacional-para-discutir-cooperacao-em-sensoriamen.json</t>
  </si>
  <si>
    <t>INPE_2026-04-16-inpe-e-centro-tecnologico-da-marinha-do-rio-de-janeiro-formalizam-parceria.json</t>
  </si>
  <si>
    <t>INPE_2026-04-16-inpe-inaugura-escritorio-local-do-cefavela-e-amplia-cooperacao-em-pesquisa.json</t>
  </si>
  <si>
    <t>INPE_2026-04-17-homenagem-a-antonio-divino-moura-um-pilar-da-meteorologia-brasileira.json</t>
  </si>
  <si>
    <t>INPE_2026-04-24-brasil-e-alemanha-assinam-acordo-para-desenvolvimento-da-missao-espacial-c.json</t>
  </si>
  <si>
    <t>INPE_2026-04-27-inpe-participa-de-reuniao-da-comissao-mista-brasil-alemanha-em-berlim-e-re.json</t>
  </si>
  <si>
    <t>INPE_2026-04-29-programa-educacao-do-inpe-realiza-iv-encontro-de-jovens-cientistas-em-cach.json</t>
  </si>
  <si>
    <t>INPE_2026-05-04-uma-janela-para-o-universo-cerimonia-de-abertura-da-exposicao-raios-mensag.json</t>
  </si>
  <si>
    <t>INPE_2026-05-08-inpe-inmet-funceme-e-censipam-divulgam-nota-tecnica-sobre-o-el-nino-e-indi.json</t>
  </si>
  <si>
    <t>INPE_2026-05-14-atlas-da-mata-atlantica-registra-menor-indice-historico-de-desmatamento-em.json</t>
  </si>
  <si>
    <t>INPE_2026-05-14-inpe-promove-2o-workshop-do-liarea.json</t>
  </si>
  <si>
    <t>INPE_2026-05-15-inpe-participa-do-forum-brasileiro-de-ia-e-computacao-de-alto-desempenho.json</t>
  </si>
  <si>
    <t>INPE_2026-05-15-inpe-participara-do-4o-science-and-business-connection.json</t>
  </si>
  <si>
    <t>INPE_2026-05-15-o-que-precisamos-saber-sobre-o-el-nino-e-seus-impactos-para-o-brasil.json</t>
  </si>
  <si>
    <t>INPE_2026-05-18-inpe-sedia-encontro-da-sos-mata-atlantica-sobre-governanca-territorial-e-m.json</t>
  </si>
  <si>
    <t>INPE_2026-05-18-projeto-de-divulgacao-cientifica-conecta-amazonia-e-mata-atlantica-e-leva.json</t>
  </si>
  <si>
    <t>INPE_2026-05-22-inpe-participa-de-acoes-de-conscientizacao-e-prevencao-de-incendios-em-pir.json</t>
  </si>
  <si>
    <t>INPE_2026-05-22-inpe-participa-do-satera-workshop-on-validation-phase-results.json</t>
  </si>
  <si>
    <t>INPE_2026-05-22-pesquisadora-do-inpe-recebe-mencao-honrosa-em-premiacao-internacional-da-a.json</t>
  </si>
  <si>
    <t>INPE_2026-05-27-inpe-participa-de-reunioes-da-omm-para-implementacao-de-programa-de-previs.json</t>
  </si>
  <si>
    <t>INPE_2026-05-27-mcti-apresenta-plataforma-sobre-risco-climatico-coordenada-pelo-inpe-para.json</t>
  </si>
  <si>
    <t>INPE_2026-05-28-inpe-recebe-delegacoes-chinesas-para-discutir-o-desenvolvimento-do-satelit.json</t>
  </si>
  <si>
    <t>INPE_2026-05-28-pesquisador-do-inpe-ha-40-anos-gerald-banon-recebe-titulo-de-cidadao-josee.json</t>
  </si>
  <si>
    <t>INPE_2026-05-29-inpe-e-cresda-avancam-na-cooperacao-tecnica-para-a-missao-cbers-06.json</t>
  </si>
  <si>
    <t>INPE_2026-06-01-inpe-participa-de-eventos-da-otca-sobre-monitoramento-e-gestao-integrada-d.json</t>
  </si>
  <si>
    <t>INPE_2026-06-03-inpe-promove-edicao-especial-do-big-techtalks-em-celebracao-ao-love-data-d.json</t>
  </si>
  <si>
    <t>INPE_2026-06-08-inpe-publica-relacao-de-projetos-executados-com-fundacoes-de-apoio.json</t>
  </si>
  <si>
    <t>INPE_2026-06-12-ciencia-e-tecnologia-do-inpe-tem-papel-de-destaque-na-reducao-historica-do.json</t>
  </si>
  <si>
    <t>INPE_2026-06-12-pesquisadores-do-inpe-se-destacam-em-ranking-internacional.json</t>
  </si>
  <si>
    <t>INPE_2026-06-15-inpe-sedia-workshop-anual-do-programa-cssp-brazil-para-impulsionar-a-cienc.json</t>
  </si>
  <si>
    <t>INPE_2026-06-15-webinario-apresenta-impactos-das-ondas-de-calor-na-saude-dos-brasileiros.json</t>
  </si>
  <si>
    <t>INPE_2026-06-19-nota-de-esclarecimento-projeto-de-expansao-da-infraestrutura-de-rastreio-e.json</t>
  </si>
  <si>
    <t>INPE_2026-06-20-programa-queimadas-do-inpe-contribui-para-plano-estadual-de-enfrentamento.json</t>
  </si>
  <si>
    <t>INPE_2026-06-22-inpe-recebe-comitiva-do-mast-para-fortalecer-parceria-em-projetos-de-museo.json</t>
  </si>
  <si>
    <t>INPE_2026-06-23-nota-tecnica-conjunta-aponta-alta-probabilidade-de-el-nino-no-segundo-seme.json</t>
  </si>
  <si>
    <t>INPE_2026-06-23-terraclass-divulga-dados-atualizados-sobre-cobertura-e-uso-da-terra-no-bio.json</t>
  </si>
  <si>
    <t>INPE_2026-06-29-inpe-integra-inciativa-inovadora-que-une-inteligencia-artificial-e-governa.json</t>
  </si>
  <si>
    <t>INPE_2026-06-29-pesquisadores-do-inpe-participam-de-workshop-sobre-astronomia-com-pequenos.json</t>
  </si>
  <si>
    <t>INPE_2026-06-30-estudante-do-programa-educacao-do-inpe-conquista-premio-destaque-na-inicia.json</t>
  </si>
  <si>
    <t>INPE_2026-06-30-painel-el-nino-2026-2027-divulga-primeiro-boletim-mensal-sobre-o-monitoram.json</t>
  </si>
  <si>
    <t>INPE_2026-07-01-coeam-celebra-16-anos-de-atuacao-do-inpe-na-amazonia.json</t>
  </si>
  <si>
    <t>INPE_2026-07-01-inpe-abre-inscricoes-para-a-serie-de-cursos-nowcasting-2026-voltada-a-prev.json</t>
  </si>
  <si>
    <t>INPE_2026-07-02-inpe-e-sos-mata-atlantica-estabelecem-novo-projeto-de-restauracao-floresta.json</t>
  </si>
  <si>
    <t>INPE_2026-07-03-adaptabrasil-lanca-painel-cidades-para-facilitar-a-consulta-sobre-risco-cl.json</t>
  </si>
  <si>
    <t>INPE_2026-07-03-ciencia-e-fe-caminham-juntas-imersoes-no-inpe-e-no-cemaden-mobilizam-lider.json</t>
  </si>
  <si>
    <t>INPE_2026-07-08-mudanca-na-direcao-do-laboratorio-nacional-de-astrofisica-lna.json</t>
  </si>
  <si>
    <t>INPE_2026-07-10-dados-do-deter-referentes-a-junho-de-2026-estao-disponiveis-na-plataforma.json</t>
  </si>
  <si>
    <t>INPE_agenda-final.pdf</t>
  </si>
  <si>
    <t>F2_Seguridad_Entorno_Espacial/INPE/pdfs</t>
  </si>
  <si>
    <t>INPE_nota-tecnica-el-nino-2026-final-160626.pdf</t>
  </si>
  <si>
    <t>INPE_notatecnicaconjuntaelnino2026-inpeinmetfuncemecensipam.pdf</t>
  </si>
  <si>
    <t>INPE_painelelniojunho26.pdf</t>
  </si>
  <si>
    <t>SWF_1-2-2022-global-counterspace-capabilities-report.json</t>
  </si>
  <si>
    <t>F2_Seguridad_Entorno_Espacial/SWF_Counterspace/articulos</t>
  </si>
  <si>
    <t>SWF_1-2009-iridium-cosmos-collision-fact-sheet.json</t>
  </si>
  <si>
    <t>SWF_1-2023-global-counterspace-capabilities-report.json</t>
  </si>
  <si>
    <t>SWF_1-2024-global-counterspace-capabilities-report.json</t>
  </si>
  <si>
    <t>SWF_1-space-industry-statement-in-support-of-international-commitments-to-not-conduct-asat.json</t>
  </si>
  <si>
    <t>SWF_10-2-swf-filing-comments-on-cowboy-spaces-orbital-data-center-application.json</t>
  </si>
  <si>
    <t>SWF_10-swf-filing-comments-on-starclouds-orbital-data-center-application.json</t>
  </si>
  <si>
    <t>SWF_11-2-july-2024-newsletter.json</t>
  </si>
  <si>
    <t>SWF_12-2-chinese-direct-ascent-anti-satellite-testing-fact-sheet.json</t>
  </si>
  <si>
    <t>SWF_12-2-chinese-military-and-intelligence-rendezvous-and-proximity-operations-fact-sheet.json</t>
  </si>
  <si>
    <t>SWF_12-2-chinese-reusable-experimental-spacecraft-fact-sheet.json</t>
  </si>
  <si>
    <t>SWF_12-2-commercial-and-civil-robotic-rendezvous-and-proximity-operations-fact-sheet.json</t>
  </si>
  <si>
    <t>SWF_12-2-indian-direct-ascent-anti-satellite-testing-fact-sheet.json</t>
  </si>
  <si>
    <t>SWF_12-2-portuguese-translation-responsible-investment-in-the-space-sector-a-guide-to-stew.json</t>
  </si>
  <si>
    <t>SWF_12-2-russian-co-orbital-anti-satellite-testing-fact-sheet.json</t>
  </si>
  <si>
    <t>SWF_12-2-russian-direct-ascent-anti-satellite-testing-fact-sheet.json</t>
  </si>
  <si>
    <t>SWF_12-2-russian-military-and-intelligence-rendezvous-and-proximity-operations-fact-sheet.json</t>
  </si>
  <si>
    <t>SWF_12-2-shenlong-orbital-test-vehicle-fact-sheet.json</t>
  </si>
  <si>
    <t>SWF_12-2-u-s-co-orbital-anti-satellite-testing-fact-sheet.json</t>
  </si>
  <si>
    <t>SWF_12-2-u-s-direct-ascent-anti-satellite-testing-fact-sheet.json</t>
  </si>
  <si>
    <t>SWF_12-2-u-s-military-and-intelligence-rendezvous-and-proximity-operations-fact-sheet.json</t>
  </si>
  <si>
    <t>SWF_12-2-x-37b-orbital-test-vehicle-fact-sheet.json</t>
  </si>
  <si>
    <t>SWF_13-2-june-2024-newsletter.json</t>
  </si>
  <si>
    <t>SWF_13-august-2024-newseltter.json</t>
  </si>
  <si>
    <t>SWF_16-2-insight-jul2026-copuos-at-a-turning-point-balancing-a-vital-mandate-with-membersh.json</t>
  </si>
  <si>
    <t>SWF_16-2-july-2026-newsletter.json</t>
  </si>
  <si>
    <t>SWF_16-global-counterspace-capabilities-report-insight-counterspace-surge-2026.json</t>
  </si>
  <si>
    <t>SWF_17-2-june-2026-un-copuos-plenary-agenda-item-5-general-exchange-of-views.json</t>
  </si>
  <si>
    <t>SWF_17-20-swf-filing-comments-on-blue-origins-orbital-data-center-application.json</t>
  </si>
  <si>
    <t>SWF_17-handbook-for-new-actors-in-space-french.json</t>
  </si>
  <si>
    <t>SWF_17-october-2024-newsletter.json</t>
  </si>
  <si>
    <t>SWF_18-2-the-case-for-space-sustainability-in-2026-insight-june-2026.json</t>
  </si>
  <si>
    <t>SWF_2-2-2020-global-counterspace-capabilities-report.json</t>
  </si>
  <si>
    <t>SWF_2020-full-report-english.pdf</t>
  </si>
  <si>
    <t>F2_Seguridad_Entorno_Espacial/SWF_Counterspace/pdfs/Counterspace_Reports</t>
  </si>
  <si>
    <t>SWF_2022-executive-summary-english.pdf</t>
  </si>
  <si>
    <t>SWF_2023-executive-summary-english.pdf</t>
  </si>
  <si>
    <t>SWF_2024-executive-summary-chinese.pdf</t>
  </si>
  <si>
    <t>SWF_2025-es-counterspace-eng.pdf</t>
  </si>
  <si>
    <t>SWF_2025-executive-summary-arabic.pdf</t>
  </si>
  <si>
    <t>SWF_2025-executive-summary-chinese.pdf</t>
  </si>
  <si>
    <t>SWF_2025-executive-summary-french.pdf</t>
  </si>
  <si>
    <t>SWF_2025-executive-summary-russian.pdf</t>
  </si>
  <si>
    <t>SWF_2025-executive-summary-spanish.pdf</t>
  </si>
  <si>
    <t>SWF_21-20-to-odc-or-not-to-odc-insight-2026.json</t>
  </si>
  <si>
    <t>SWF_24-2-statement-to-the-un-secretary-generals-advisory-board-on-disarmament-matters-tran.json</t>
  </si>
  <si>
    <t>SWF_25-2-june-2026-newsletter.json</t>
  </si>
  <si>
    <t>SWF_26-2021-global-counterspace-capabilities-report.json</t>
  </si>
  <si>
    <t>SWF_27-20-verifying-the-prohibition-on-the-placement-of-nuclear-weapons-in-outer-space-ost.json</t>
  </si>
  <si>
    <t>SWF_27-copuos-briefing-book.json</t>
  </si>
  <si>
    <t>SWF_27-le-guide-concis-du-cupeea.json</t>
  </si>
  <si>
    <t>SWF_29-2019-global-counterspace-capabilities-report.json</t>
  </si>
  <si>
    <t>SWF_29-lunar-space-cooperation-initiatives.json</t>
  </si>
  <si>
    <t>SWF_4-16-2026-swf-asat-infographic-2022.json</t>
  </si>
  <si>
    <t>SWF_5-handbook-for-new-actors-in-space-chinese.json</t>
  </si>
  <si>
    <t>SWF_5-handbook-for-new-actors-in-space-spanish.json</t>
  </si>
  <si>
    <t>SWF_5-handbook-for-new-actors-in-space.json</t>
  </si>
  <si>
    <t>SWF_5-unoosa-director-statement-to-69th-copuos.pdf</t>
  </si>
  <si>
    <t>F2_Seguridad_Entorno_Espacial/SWF_Counterspace/pdfs/Otros</t>
  </si>
  <si>
    <t>SWF_6-2-2018-global-counterspace-capabilities-report.json</t>
  </si>
  <si>
    <t>SWF_6-2-swf-filing-comments-on-spacexs-orbital-data-center-application.json</t>
  </si>
  <si>
    <t>SWF_6-2-un-group-of-governmental-experts-gge-on-space-tcbms-fact-sheet.json</t>
  </si>
  <si>
    <t>SWF_6-20-july-2026-oewg-swf-statement-paros-tcbm.json</t>
  </si>
  <si>
    <t>SWF_6-oewg-reducing-space-threats-2023-fact-sheet.json</t>
  </si>
  <si>
    <t>SWF_6801551cf9f591e09a953b6d-fs23-12-oewg-on-reducing-space-threats-1023.pdf</t>
  </si>
  <si>
    <t>F2_Seguridad_Entorno_Espacial/SWF_Counterspace/pdfs/Fact_Sheets</t>
  </si>
  <si>
    <t>SWF_68015970f3e8d76d3d9fdce3-swf-iridium-cosmos-collision-fact-sheet-updated-2012.pdf</t>
  </si>
  <si>
    <t>SWF_68239a54783e8c917bedf423-hs-2025-victoriasamson-web.avif</t>
  </si>
  <si>
    <t>F2_Seguridad_Entorno_Espacial/SWF_Counterspace/swf_counterspace_2026/images</t>
  </si>
  <si>
    <t>Otro</t>
  </si>
  <si>
    <t>SWF_68399caedbb7cbe28229c326-38236.jpg</t>
  </si>
  <si>
    <t>SWF_68399cb24dc4a66ec0d2c535-s43-83-082orig.jpg</t>
  </si>
  <si>
    <t>SWF_68399cb30e67dd1473cc427a-sts063-712-072medium.jpg</t>
  </si>
  <si>
    <t>SWF_685567ad2a80d36b0b5a15ef-copuos-briefing-book-russian-web.pdf</t>
  </si>
  <si>
    <t>SWF_685567ae7ac5278ddcb2dc68-copuos-briefing-book-spanish-web.pdf</t>
  </si>
  <si>
    <t>SWF_685948b82c82d26ce150c2a9-kbrett.jpg</t>
  </si>
  <si>
    <t>SWF_6859b22aeecc939d0f4c6f0d-gge-space-tcbms-fact-sheet-april-2014.pdf</t>
  </si>
  <si>
    <t>SWF_68641e5ca00afad730f46a7e-da-asat-statement-march-2025.pdf</t>
  </si>
  <si>
    <t>SWF_68a360cae303ff0aa031fe2d-handbook-for-new-actors-in-space-chinese-web.pdf</t>
  </si>
  <si>
    <t>SWF_690e30052993b5d301a5c1b8-victoria-samson-quad-nations-security-dialogue-sept-28-2025.pdf</t>
  </si>
  <si>
    <t>SWF_69cac182eba666b43b38e5dd-table-5-1-web.jpg</t>
  </si>
  <si>
    <t>SWF_69caf750b6a0fce65862de8a-stoplight-chart-execsummary-web.jpg</t>
  </si>
  <si>
    <t>SWF_69cffa84a1834078d6f9fe5e-2018-global-counterspace-capabilities-an-open-source-assessme.pdf</t>
  </si>
  <si>
    <t>SWF_69cffd06bb49a754a728c08d-2019-global-counterspace-capabilities-an-open-source-assessme.pdf</t>
  </si>
  <si>
    <t>SWF_69d000e653a0667bf9cf7a6f-2020-global-counterspace-capabilities-an-open-source-assessme.pdf</t>
  </si>
  <si>
    <t>SWF_69d003188c7e60684d6fab55-2021-global-counterspace-capabilities-an-open-source-assessme.pdf</t>
  </si>
  <si>
    <t>SWF_69d0054fcf51801d46c919e7-2023-global-counterspace-capabilities-an-open-source-assessme.pdf</t>
  </si>
  <si>
    <t>SWF_69d00cb41bf6510b78f7de95-2017-french-handbook-for-new-actors.pdf</t>
  </si>
  <si>
    <t>SWF_69d5661917fa2d73b0e69452-cscr-head.jpg</t>
  </si>
  <si>
    <t>SWF_69d7dd0c7b9a543b1c15c6ff-2025-commercial-and-civil-robotic-rendezvous-and-proximity-op.pdf</t>
  </si>
  <si>
    <t>SWF_69d7dea06022e1fa5379dbdc-2025-u.s.-co-orbital-anti-satellite-testing-fact-sheet.pdf</t>
  </si>
  <si>
    <t>SWF_69efd9ea36f217e8cdf27506-swf-comments-on-spacex-odc-filing.pdf</t>
  </si>
  <si>
    <t>SWF_69efdcb16aab3ec7a9eb444c-swf-comments-on-starcloud-odc-filing.pdf</t>
  </si>
  <si>
    <t>SWF_6a063f3ccaf9f32a290430b9-asat-by-country-2026.jpg</t>
  </si>
  <si>
    <t>SWF_6a0b0818fcda8557e49ffd3f-swf-comments-on-blue-origin-odc-filing.pdf</t>
  </si>
  <si>
    <t>SWF_6a3c34256ebbe7ed488408dd-verifying-the-prohibition-on-the-placement-of-nuclear-weapons.pdf</t>
  </si>
  <si>
    <t>SWF_6a4562a468e2256623dbd210-space-tcbms-statement-to-sg-advisory-bd-on-disarmament-matter.pdf</t>
  </si>
  <si>
    <t>SWF_6a5155ae152102225ac99178-swf-comments-on-cowboy-space-odc-filing.pdf</t>
  </si>
  <si>
    <t>SWF_6a555a295484f70289284315-swf-statement-for-the-3rd-session-of-the-oewg-on-paros-in-all.pdf</t>
  </si>
  <si>
    <t>SWF_742991e8c328c631d7315f22a966b3e5d88d5c804b3550cb284a72671ea5bd2a.house-science-committ.pdf</t>
  </si>
  <si>
    <t>SWF_8-2-2025-global-counterspace-capabilities-report.json</t>
  </si>
  <si>
    <t>SWF_8-2-2026-global-counterspace-capabilities-report.json</t>
  </si>
  <si>
    <t>SWF_confers-operating-practices.pdf</t>
  </si>
  <si>
    <t>SWF_copuos-briefing-book-2025-eng-web.pdf</t>
  </si>
  <si>
    <t>SWF_copuos-briefing-book-2025-fre-web.pdf</t>
  </si>
  <si>
    <t>SWF_execsum-2026-swf-global-counterspace-capabilities.pdf</t>
  </si>
  <si>
    <t>SWF_fact-sheet-2026-chinese-direct-ascent-anti-satellite-testing.pdf</t>
  </si>
  <si>
    <t>SWF_fact-sheet-2026-chinese-military-and-intelligence-rpo.pdf</t>
  </si>
  <si>
    <t>SWF_fact-sheet-2026-chinese-reusable-experimental-spacecraft.pdf</t>
  </si>
  <si>
    <t>SWF_fact-sheet-2026-indian-direct-ascent-anti-satellite-testing.pdf</t>
  </si>
  <si>
    <t>SWF_fact-sheet-2026-russian-co-orbital-anti-satellite-testing.pdf</t>
  </si>
  <si>
    <t>SWF_fact-sheet-2026-russian-direct-ascent-anti-satellite-testing.pdf</t>
  </si>
  <si>
    <t>SWF_fact-sheet-2026-russian-military-and-intelligence-rendezvous-and-proximity-operations.pdf</t>
  </si>
  <si>
    <t>SWF_fact-sheet-2026-u.s.-direct-ascent-anti-satellite-testing.pdf</t>
  </si>
  <si>
    <t>SWF_fact-sheet-2026-u.s.-military-and-intelligence-rendezvous-and-proximity-operations.pdf</t>
  </si>
  <si>
    <t>SWF_fact-sheet-2026-us-co-orbital-anti-satellite-testing-2026.pdf</t>
  </si>
  <si>
    <t>SWF_fact-sheet-2026-x-37b.pdf</t>
  </si>
  <si>
    <t>SWF_full-text.txt</t>
  </si>
  <si>
    <t>F2_Seguridad_Entorno_Espacial/SWF_Counterspace/swf_counterspace_2026</t>
  </si>
  <si>
    <t>SWF_gcsr-2026-execsum-ara.pdf</t>
  </si>
  <si>
    <t>SWF_gcsr-2026-execsum-chi.pdf</t>
  </si>
  <si>
    <t>SWF_gcsr-2026-execsum-eng.pdf</t>
  </si>
  <si>
    <t>SWF_gcsr-2026-execsum-fre.pdf</t>
  </si>
  <si>
    <t>SWF_gcsr-2026-execsum-por.pdf</t>
  </si>
  <si>
    <t>SWF_gcsr-2026-execsum-rus.pdf</t>
  </si>
  <si>
    <t>SWF_gcsr-2026-execsum-spa.pdf</t>
  </si>
  <si>
    <t>SWF_global-counterspace-capabilities-2022-rev2.pdf</t>
  </si>
  <si>
    <t>SWF_global-counterspace-capabilities-2024.pdf</t>
  </si>
  <si>
    <t>SWF_global-counterspace-capabilities-2025.pdf</t>
  </si>
  <si>
    <t>SWF_global-counterspace-capabilities-2026-hr.pdf</t>
  </si>
  <si>
    <t>SWF_global-counterspace-capabilities-an-open-source-assessment.json</t>
  </si>
  <si>
    <t>SWF_handbook-for-new-space-actors-2025-hr.pdf</t>
  </si>
  <si>
    <t>SWF_ilrs-presentation20230529.pdf</t>
  </si>
  <si>
    <t>SWF_investimento-respons-vel-no-setor-espacial.pdf</t>
  </si>
  <si>
    <t>SWF_publication-final-english-june2021.pdf</t>
  </si>
  <si>
    <t>SWF_report-data.csv</t>
  </si>
  <si>
    <t>SWF_report-data.json</t>
  </si>
  <si>
    <t>SWF_september-2024-newsletter.json</t>
  </si>
  <si>
    <t>SWF_space-commerce-certification-osc-proposal-march-2026.pdf</t>
  </si>
  <si>
    <t>SWF_ssc-best-practices-for-space-operations-sustainability-v29.pdf</t>
  </si>
  <si>
    <t>SWF_statement-copuos-26-item5-plenary.pdf</t>
  </si>
  <si>
    <t>UNOOSA_annual-report-2021.pdf</t>
  </si>
  <si>
    <t>F2_Seguridad_Entorno_Espacial/UNOOSA/pdfs/2021</t>
  </si>
  <si>
    <t>UNOOSA_annual-report-2022.pdf</t>
  </si>
  <si>
    <t>F2_Seguridad_Entorno_Espacial/UNOOSA/pdfs/2022</t>
  </si>
  <si>
    <t>UNOOSA_annual-report-2023.pdf</t>
  </si>
  <si>
    <t>F2_Seguridad_Entorno_Espacial/UNOOSA/pdfs/2023</t>
  </si>
  <si>
    <t>UNOOSA_annual-report-2024.pdf</t>
  </si>
  <si>
    <t>F2_Seguridad_Entorno_Espacial/UNOOSA/pdfs/2024</t>
  </si>
  <si>
    <t>UNOOSA_ensuring-responsible-ai-in-space-and-earth-observation.pdf</t>
  </si>
  <si>
    <t>F2_Seguridad_Entorno_Espacial/UNOOSA/pdfs/2025</t>
  </si>
  <si>
    <t>UNOOSA_extracts-from-the-icg-reports-edited-13-04-2026.pdf</t>
  </si>
  <si>
    <t>F2_Seguridad_Entorno_Espacial/UNOOSA/pdfs/2026</t>
  </si>
  <si>
    <t>UNOOSA_icg-working-groups-recommendations-2026-03-27.pdf</t>
  </si>
  <si>
    <t>UNOOSA_performance-standards-guidelines-v2.0-final.pdf</t>
  </si>
  <si>
    <t>F2_Seguridad_Entorno_Espacial/UNOOSA/pdfs/Otros</t>
  </si>
  <si>
    <t>UNOOSA_safeguarding-space-issues-note-final.pdf</t>
  </si>
  <si>
    <t>UNOOSA_st-space-073e.pdf</t>
  </si>
  <si>
    <t>UNOOSA_st-space-084e.pdf</t>
  </si>
  <si>
    <t>UNOOSA_st-space-085e.pdf</t>
  </si>
  <si>
    <t>UNOOSA_st-space-088a.pdf</t>
  </si>
  <si>
    <t>UNOOSA_st-space-088c.pdf</t>
  </si>
  <si>
    <t>UNOOSA_st-space-088e.pdf</t>
  </si>
  <si>
    <t>UNOOSA_st-space-088f.pdf</t>
  </si>
  <si>
    <t>UNOOSA_st-space-088r.pdf</t>
  </si>
  <si>
    <t>UNOOSA_st-space-088s.pdf</t>
  </si>
  <si>
    <t>UNOOSA_st-space-089e.pdf</t>
  </si>
  <si>
    <t>UNOOSA_st-space-091e.pdf</t>
  </si>
  <si>
    <t>UNOOSA_st-space-092e.pdf</t>
  </si>
  <si>
    <t>UNOOSA_st-space-092f.pdf</t>
  </si>
  <si>
    <t>UNOOSA_st-space-095e.pdf</t>
  </si>
  <si>
    <t>UNOOSA_st-space-096e.pdf</t>
  </si>
  <si>
    <t>UNOOSA_st-space-61rev03a.pdf</t>
  </si>
  <si>
    <t>UNOOSA_st-space-61rev03c.pdf</t>
  </si>
  <si>
    <t>UNOOSA_st-space-61rev03e.pdf</t>
  </si>
  <si>
    <t>UNOOSA_st-space-61rev03f.pdf</t>
  </si>
  <si>
    <t>UNOOSA_st-space-61rev03r.pdf</t>
  </si>
  <si>
    <t>UNOOSA_st-space-61rev03s.pdf</t>
  </si>
  <si>
    <t>UNOOSA_st-space-75rev01e.pdf</t>
  </si>
  <si>
    <t>F3</t>
  </si>
  <si>
    <t>ALERTAS_001-17-91689.json</t>
  </si>
  <si>
    <t>F3_Dinamicas_Territoriales/Alertas_Tempranas/alertas</t>
  </si>
  <si>
    <t>ALERTAS_001-18-91686.json</t>
  </si>
  <si>
    <t>ALERTAS_001-19-91688.json</t>
  </si>
  <si>
    <t>ALERTAS_001-20-91671.json</t>
  </si>
  <si>
    <t>ALERTAS_001-21-91789.json</t>
  </si>
  <si>
    <t>ALERTAS_001-22-91823.json</t>
  </si>
  <si>
    <t>ALERTAS_001-23-91857.json</t>
  </si>
  <si>
    <t>ALERTAS_001-24-91898.json</t>
  </si>
  <si>
    <t>ALERTAS_001-25-91926.json</t>
  </si>
  <si>
    <t>ALERTAS_001-26-91947.json</t>
  </si>
  <si>
    <t>ALERTAS_002-18-91621.json</t>
  </si>
  <si>
    <t>ALERTAS_002-19-91708.json</t>
  </si>
  <si>
    <t>ALERTAS_002-20-91767.json</t>
  </si>
  <si>
    <t>ALERTAS_002-21-91790.json</t>
  </si>
  <si>
    <t>ALERTAS_002-22-91824.json</t>
  </si>
  <si>
    <t>ALERTAS_002-23-91858.json</t>
  </si>
  <si>
    <t>ALERTAS_002-24-91899.json</t>
  </si>
  <si>
    <t>ALERTAS_002-25-91927.json</t>
  </si>
  <si>
    <t>ALERTAS_002-26-91948.json</t>
  </si>
  <si>
    <t>ALERTAS_003-18-91622.json</t>
  </si>
  <si>
    <t>ALERTAS_003-19-91594.json</t>
  </si>
  <si>
    <t>ALERTAS_003-20-91730.json</t>
  </si>
  <si>
    <t>ALERTAS_003-21-91791.json</t>
  </si>
  <si>
    <t>ALERTAS_003-22-91825.json</t>
  </si>
  <si>
    <t>ALERTAS_003-23-91859.json</t>
  </si>
  <si>
    <t>ALERTAS_003-24-91901.json</t>
  </si>
  <si>
    <t>ALERTAS_003-25-91928.json</t>
  </si>
  <si>
    <t>ALERTAS_003-26-91949.json</t>
  </si>
  <si>
    <t>ALERTAS_004-18-91623.json</t>
  </si>
  <si>
    <t>ALERTAS_004-19-91696.json</t>
  </si>
  <si>
    <t>ALERTAS_004-20-91768.json</t>
  </si>
  <si>
    <t>ALERTAS_004-21-91792.json</t>
  </si>
  <si>
    <t>ALERTAS_004-22-91826.json</t>
  </si>
  <si>
    <t>ALERTAS_004-23-91860.json</t>
  </si>
  <si>
    <t>ALERTAS_004-24-91902.json</t>
  </si>
  <si>
    <t>ALERTAS_004-25-91929.json</t>
  </si>
  <si>
    <t>ALERTAS_004-26-91950.json</t>
  </si>
  <si>
    <t>ALERTAS_005-18-91687.json</t>
  </si>
  <si>
    <t>ALERTAS_005-19-91754.json</t>
  </si>
  <si>
    <t>ALERTAS_005-20-91661.json</t>
  </si>
  <si>
    <t>ALERTAS_005-21-91793.json</t>
  </si>
  <si>
    <t>ALERTAS_005-22-91827.json</t>
  </si>
  <si>
    <t>ALERTAS_005-23-91861.json</t>
  </si>
  <si>
    <t>ALERTAS_005-24-91903.json</t>
  </si>
  <si>
    <t>ALERTAS_005-25-91930.json</t>
  </si>
  <si>
    <t>ALERTAS_005-26-91951.json</t>
  </si>
  <si>
    <t>ALERTAS_006-18-91624.json</t>
  </si>
  <si>
    <t>ALERTAS_006-19-91691.json</t>
  </si>
  <si>
    <t>ALERTAS_006-20-91731.json</t>
  </si>
  <si>
    <t>ALERTAS_006-21-91794.json</t>
  </si>
  <si>
    <t>ALERTAS_006-22-91828.json</t>
  </si>
  <si>
    <t>ALERTAS_006-23-91862.json</t>
  </si>
  <si>
    <t>ALERTAS_006-24-91904.json</t>
  </si>
  <si>
    <t>ALERTAS_006-25-91931.json</t>
  </si>
  <si>
    <t>ALERTAS_006-26-91952.json</t>
  </si>
  <si>
    <t>ALERTAS_007-18-91710.json</t>
  </si>
  <si>
    <t>ALERTAS_007-19-91592.json</t>
  </si>
  <si>
    <t>ALERTAS_007-20-91732.json</t>
  </si>
  <si>
    <t>ALERTAS_007-21-91795.json</t>
  </si>
  <si>
    <t>ALERTAS_007-22-91829.json</t>
  </si>
  <si>
    <t>ALERTAS_007-23-91863.json</t>
  </si>
  <si>
    <t>ALERTAS_007-24-91905.json</t>
  </si>
  <si>
    <t>ALERTAS_007-25-91932.json</t>
  </si>
  <si>
    <t>ALERTAS_007-26-91953.json</t>
  </si>
  <si>
    <t>ALERTAS_008-18-91711.json</t>
  </si>
  <si>
    <t>ALERTAS_008-19-91595.json</t>
  </si>
  <si>
    <t>ALERTAS_008-20-91660.json</t>
  </si>
  <si>
    <t>ALERTAS_008-21-91796.json</t>
  </si>
  <si>
    <t>ALERTAS_008-22-91830.json</t>
  </si>
  <si>
    <t>ALERTAS_008-23-91864.json</t>
  </si>
  <si>
    <t>ALERTAS_008-24-91906.json</t>
  </si>
  <si>
    <t>ALERTAS_008-25-91933.json</t>
  </si>
  <si>
    <t>ALERTAS_008-26-91954.json</t>
  </si>
  <si>
    <t>ALERTAS_009-18-91625.json</t>
  </si>
  <si>
    <t>ALERTAS_009-19-91755.json</t>
  </si>
  <si>
    <t>ALERTAS_009-20-91739.json</t>
  </si>
  <si>
    <t>ALERTAS_009-21-91798.json</t>
  </si>
  <si>
    <t>ALERTAS_009-22-91831.json</t>
  </si>
  <si>
    <t>ALERTAS_009-23-91865.json</t>
  </si>
  <si>
    <t>ALERTAS_009-24-91907.json</t>
  </si>
  <si>
    <t>ALERTAS_009-25-91934.json</t>
  </si>
  <si>
    <t>ALERTAS_009-26-91955.json</t>
  </si>
  <si>
    <t>ALERTAS_010-18-91626.json</t>
  </si>
  <si>
    <t>ALERTAS_010-19-91756.json</t>
  </si>
  <si>
    <t>ALERTAS_010-20-91662.json</t>
  </si>
  <si>
    <t>ALERTAS_010-21-91797.json</t>
  </si>
  <si>
    <t>ALERTAS_010-22-91832.json</t>
  </si>
  <si>
    <t>ALERTAS_010-23-91866.json</t>
  </si>
  <si>
    <t>ALERTAS_010-24-91908.json</t>
  </si>
  <si>
    <t>ALERTAS_010-25-91935.json</t>
  </si>
  <si>
    <t>ALERTAS_010-26-91956.json</t>
  </si>
  <si>
    <t>ALERTAS_011-18-91712.json</t>
  </si>
  <si>
    <t>ALERTAS_011-19-91757.json</t>
  </si>
  <si>
    <t>ALERTAS_011-20-91663.json</t>
  </si>
  <si>
    <t>ALERTAS_011-21-91799.json</t>
  </si>
  <si>
    <t>ALERTAS_011-22-91833.json</t>
  </si>
  <si>
    <t>ALERTAS_011-23-91867.json</t>
  </si>
  <si>
    <t>ALERTAS_011-24-91909.json</t>
  </si>
  <si>
    <t>ALERTAS_011-25-91936.json</t>
  </si>
  <si>
    <t>ALERTAS_011-26-91957.json</t>
  </si>
  <si>
    <t>ALERTAS_012-18-91627.json</t>
  </si>
  <si>
    <t>ALERTAS_012-19-91596.json</t>
  </si>
  <si>
    <t>ALERTAS_012-20-91670.json</t>
  </si>
  <si>
    <t>ALERTAS_012-21-91800.json</t>
  </si>
  <si>
    <t>ALERTAS_012-22-91835.json</t>
  </si>
  <si>
    <t>ALERTAS_012-23-91868.json</t>
  </si>
  <si>
    <t>ALERTAS_012-24-91910.json</t>
  </si>
  <si>
    <t>ALERTAS_012-25-91937.json</t>
  </si>
  <si>
    <t>ALERTAS_012-26-91958.json</t>
  </si>
  <si>
    <t>ALERTAS_013-18-91628.json</t>
  </si>
  <si>
    <t>ALERTAS_013-19-91597.json</t>
  </si>
  <si>
    <t>ALERTAS_013-20-91664.json</t>
  </si>
  <si>
    <t>ALERTAS_013-21-91801.json</t>
  </si>
  <si>
    <t>ALERTAS_013-22-91834.json</t>
  </si>
  <si>
    <t>ALERTAS_013-23-91869.json</t>
  </si>
  <si>
    <t>ALERTAS_013-24-91911.json</t>
  </si>
  <si>
    <t>ALERTAS_013-25-91938.json</t>
  </si>
  <si>
    <t>ALERTAS_013-26-91959.json</t>
  </si>
  <si>
    <t>ALERTAS_014-18-91629.json</t>
  </si>
  <si>
    <t>ALERTAS_014-19-91598.json</t>
  </si>
  <si>
    <t>ALERTAS_014-20-91672.json</t>
  </si>
  <si>
    <t>ALERTAS_014-21-91802.json</t>
  </si>
  <si>
    <t>ALERTAS_014-22-91836.json</t>
  </si>
  <si>
    <t>ALERTAS_014-23-91870.json</t>
  </si>
  <si>
    <t>ALERTAS_014-24-91912.json</t>
  </si>
  <si>
    <t>ALERTAS_014-25-91939.json</t>
  </si>
  <si>
    <t>ALERTAS_014-26-91960.json</t>
  </si>
  <si>
    <t>ALERTAS_015-18-91630.json</t>
  </si>
  <si>
    <t>ALERTAS_015-19-91599.json</t>
  </si>
  <si>
    <t>ALERTAS_015-20-91665.json</t>
  </si>
  <si>
    <t>ALERTAS_015-21-91803.json</t>
  </si>
  <si>
    <t>ALERTAS_015-22-91837.json</t>
  </si>
  <si>
    <t>ALERTAS_015-23-91871.json</t>
  </si>
  <si>
    <t>ALERTAS_015-24-91913.json</t>
  </si>
  <si>
    <t>ALERTAS_015-25-91941.json</t>
  </si>
  <si>
    <t>ALERTAS_015-26-91961.json</t>
  </si>
  <si>
    <t>ALERTAS_016-18-91631.json</t>
  </si>
  <si>
    <t>ALERTAS_016-19-91758.json</t>
  </si>
  <si>
    <t>ALERTAS_016-20-91666.json</t>
  </si>
  <si>
    <t>ALERTAS_016-21-91804.json</t>
  </si>
  <si>
    <t>ALERTAS_016-22-91838.json</t>
  </si>
  <si>
    <t>ALERTAS_016-23-91872.json</t>
  </si>
  <si>
    <t>ALERTAS_016-24-91914.json</t>
  </si>
  <si>
    <t>ALERTAS_016-25-91942.json</t>
  </si>
  <si>
    <t>ALERTAS_016-26-91962.json</t>
  </si>
  <si>
    <t>ALERTAS_017-18-91632.json</t>
  </si>
  <si>
    <t>ALERTAS_017-19-91600.json</t>
  </si>
  <si>
    <t>ALERTAS_017-20-91733.json</t>
  </si>
  <si>
    <t>ALERTAS_017-21-91805.json</t>
  </si>
  <si>
    <t>ALERTAS_017-22-91839.json</t>
  </si>
  <si>
    <t>ALERTAS_017-23-91873.json</t>
  </si>
  <si>
    <t>ALERTAS_017-24-91915.json</t>
  </si>
  <si>
    <t>ALERTAS_017-25-91943.json</t>
  </si>
  <si>
    <t>ALERTAS_017-26-91963.json</t>
  </si>
  <si>
    <t>ALERTAS_018-18-91633.json</t>
  </si>
  <si>
    <t>ALERTAS_018-19-91601.json</t>
  </si>
  <si>
    <t>ALERTAS_018-20-91659.json</t>
  </si>
  <si>
    <t>ALERTAS_018-21-91806.json</t>
  </si>
  <si>
    <t>ALERTAS_018-22-91840.json</t>
  </si>
  <si>
    <t>ALERTAS_018-23-91876.json</t>
  </si>
  <si>
    <t>ALERTAS_018-24-91916.json</t>
  </si>
  <si>
    <t>ALERTAS_018-25-91944.json</t>
  </si>
  <si>
    <t>ALERTAS_019-18-91617.json</t>
  </si>
  <si>
    <t>ALERTAS_019-19-91602.json</t>
  </si>
  <si>
    <t>ALERTAS_019-20-91734.json</t>
  </si>
  <si>
    <t>ALERTAS_019-21-91807.json</t>
  </si>
  <si>
    <t>ALERTAS_019-22-91841.json</t>
  </si>
  <si>
    <t>ALERTAS_019-23-91877.json</t>
  </si>
  <si>
    <t>ALERTAS_019-24-91917.json</t>
  </si>
  <si>
    <t>ALERTAS_019-25-91945.json</t>
  </si>
  <si>
    <t>ALERTAS_020-18-91713.json</t>
  </si>
  <si>
    <t>ALERTAS_020-19-91685.json</t>
  </si>
  <si>
    <t>ALERTAS_020-20-91667.json</t>
  </si>
  <si>
    <t>ALERTAS_020-21-91808.json</t>
  </si>
  <si>
    <t>ALERTAS_020-22-91842.json</t>
  </si>
  <si>
    <t>ALERTAS_020-23-91878.json</t>
  </si>
  <si>
    <t>ALERTAS_020-24-91918.json</t>
  </si>
  <si>
    <t>ALERTAS_020-25-91946.json</t>
  </si>
  <si>
    <t>ALERTAS_021-18-91634.json</t>
  </si>
  <si>
    <t>ALERTAS_021-19-91697.json</t>
  </si>
  <si>
    <t>ALERTAS_021-20-91735.json</t>
  </si>
  <si>
    <t>ALERTAS_021-21-91809.json</t>
  </si>
  <si>
    <t>ALERTAS_021-22-91843.json</t>
  </si>
  <si>
    <t>ALERTAS_021-23-91879.json</t>
  </si>
  <si>
    <t>ALERTAS_021-24-91919.json</t>
  </si>
  <si>
    <t>ALERTAS_022-18-91741.json</t>
  </si>
  <si>
    <t>ALERTAS_022-19-91698.json</t>
  </si>
  <si>
    <t>ALERTAS_022-20-91668.json</t>
  </si>
  <si>
    <t>ALERTAS_022-21-91810.json</t>
  </si>
  <si>
    <t>ALERTAS_022-22-91844.json</t>
  </si>
  <si>
    <t>ALERTAS_022-23-91880.json</t>
  </si>
  <si>
    <t>ALERTAS_022-24-91920.json</t>
  </si>
  <si>
    <t>ALERTAS_023-18-91614.json</t>
  </si>
  <si>
    <t>ALERTAS_023-19-91759.json</t>
  </si>
  <si>
    <t>ALERTAS_023-20-91736.json</t>
  </si>
  <si>
    <t>ALERTAS_023-21-91811.json</t>
  </si>
  <si>
    <t>ALERTAS_023-22-91845.json</t>
  </si>
  <si>
    <t>ALERTAS_023-23-91881.json</t>
  </si>
  <si>
    <t>ALERTAS_023-24-91921.json</t>
  </si>
  <si>
    <t>ALERTAS_024-18-91635.json</t>
  </si>
  <si>
    <t>ALERTAS_024-19-91603.json</t>
  </si>
  <si>
    <t>ALERTAS_024-20-91669.json</t>
  </si>
  <si>
    <t>ALERTAS_024-21-91812.json</t>
  </si>
  <si>
    <t>ALERTAS_024-22-91846.json</t>
  </si>
  <si>
    <t>ALERTAS_024-23-91882.json</t>
  </si>
  <si>
    <t>ALERTAS_024-24-91922.json</t>
  </si>
  <si>
    <t>ALERTAS_025-18-91657.json</t>
  </si>
  <si>
    <t>ALERTAS_025-19-91593.json</t>
  </si>
  <si>
    <t>ALERTAS_025-20-91737.json</t>
  </si>
  <si>
    <t>ALERTAS_025-21-91813.json</t>
  </si>
  <si>
    <t>ALERTAS_025-22-91847.json</t>
  </si>
  <si>
    <t>ALERTAS_025-23-91883.json</t>
  </si>
  <si>
    <t>ALERTAS_025-24-91923.json</t>
  </si>
  <si>
    <t>ALERTAS_026-18-91747.json</t>
  </si>
  <si>
    <t>ALERTAS_026-19-91699.json</t>
  </si>
  <si>
    <t>ALERTAS_026-20-91738.json</t>
  </si>
  <si>
    <t>ALERTAS_026-21-91814.json</t>
  </si>
  <si>
    <t>ALERTAS_026-22-91848.json</t>
  </si>
  <si>
    <t>ALERTAS_026-23-91884.json</t>
  </si>
  <si>
    <t>ALERTAS_026-24-91924.json</t>
  </si>
  <si>
    <t>ALERTAS_027-18-91655.json</t>
  </si>
  <si>
    <t>ALERTAS_027-19-91760.json</t>
  </si>
  <si>
    <t>ALERTAS_027-20-91676.json</t>
  </si>
  <si>
    <t>ALERTAS_027-21-91820.json</t>
  </si>
  <si>
    <t>ALERTAS_027-22-91849.json</t>
  </si>
  <si>
    <t>ALERTAS_027-23-91885.json</t>
  </si>
  <si>
    <t>ALERTAS_027-24-91925.json</t>
  </si>
  <si>
    <t>ALERTAS_028-18-91636.json</t>
  </si>
  <si>
    <t>ALERTAS_028-19-91700.json</t>
  </si>
  <si>
    <t>ALERTAS_028-20-91673.json</t>
  </si>
  <si>
    <t>ALERTAS_028-21-91821.json</t>
  </si>
  <si>
    <t>ALERTAS_028-22-91850.json</t>
  </si>
  <si>
    <t>ALERTAS_028-23-91886.json</t>
  </si>
  <si>
    <t>ALERTAS_029-18-91637.json</t>
  </si>
  <si>
    <t>ALERTAS_029-19-91761.json</t>
  </si>
  <si>
    <t>ALERTAS_029-20-91742.json</t>
  </si>
  <si>
    <t>ALERTAS_029-21-91822.json</t>
  </si>
  <si>
    <t>ALERTAS_029-22-91851.json</t>
  </si>
  <si>
    <t>ALERTAS_029-23-91887.json</t>
  </si>
  <si>
    <t>ALERTAS_030-18-91638.json</t>
  </si>
  <si>
    <t>ALERTAS_030-19-91604.json</t>
  </si>
  <si>
    <t>ALERTAS_030-20-91674.json</t>
  </si>
  <si>
    <t>ALERTAS_030-22-91852.json</t>
  </si>
  <si>
    <t>ALERTAS_030-23-91888.json</t>
  </si>
  <si>
    <t>ALERTAS_031-18-91639.json</t>
  </si>
  <si>
    <t>ALERTAS_031-19-91591.json</t>
  </si>
  <si>
    <t>ALERTAS_031-20-91675.json</t>
  </si>
  <si>
    <t>ALERTAS_031-22-91853.json</t>
  </si>
  <si>
    <t>ALERTAS_031-23-91889.json</t>
  </si>
  <si>
    <t>ALERTAS_032-18-91590.json</t>
  </si>
  <si>
    <t>ALERTAS_032-19-91605.json</t>
  </si>
  <si>
    <t>ALERTAS_032-20-91746.json</t>
  </si>
  <si>
    <t>ALERTAS_032-22-91854.json</t>
  </si>
  <si>
    <t>ALERTAS_032-23-91890.json</t>
  </si>
  <si>
    <t>ALERTAS_033-18-91640.json</t>
  </si>
  <si>
    <t>ALERTAS_033-19-91762.json</t>
  </si>
  <si>
    <t>ALERTAS_033-20-91743.json</t>
  </si>
  <si>
    <t>ALERTAS_033-22-91855.json</t>
  </si>
  <si>
    <t>ALERTAS_033-23-91891.json</t>
  </si>
  <si>
    <t>ALERTAS_034-18-91641.json</t>
  </si>
  <si>
    <t>ALERTAS_034-19-91613.json</t>
  </si>
  <si>
    <t>ALERTAS_034-20-91744.json</t>
  </si>
  <si>
    <t>ALERTAS_034-22-91856.json</t>
  </si>
  <si>
    <t>ALERTAS_034-23-91892.json</t>
  </si>
  <si>
    <t>ALERTAS_035-18-91740.json</t>
  </si>
  <si>
    <t>ALERTAS_035-19-91695.json</t>
  </si>
  <si>
    <t>ALERTAS_035-20-91745.json</t>
  </si>
  <si>
    <t>ALERTAS_035-23-91893.json</t>
  </si>
  <si>
    <t>ALERTAS_036-18-91729.json</t>
  </si>
  <si>
    <t>ALERTAS_036-19-91701.json</t>
  </si>
  <si>
    <t>ALERTAS_036-20-91692.json</t>
  </si>
  <si>
    <t>ALERTAS_036-23-91894.json</t>
  </si>
  <si>
    <t>ALERTAS_037-18-91642.json</t>
  </si>
  <si>
    <t>ALERTAS_037-19-91606.json</t>
  </si>
  <si>
    <t>ALERTAS_037-20-91776.json</t>
  </si>
  <si>
    <t>ALERTAS_037-23-91895.json</t>
  </si>
  <si>
    <t>ALERTAS_038-18-91615.json</t>
  </si>
  <si>
    <t>ALERTAS_038-19-91607.json</t>
  </si>
  <si>
    <t>ALERTAS_038-20-91693.json</t>
  </si>
  <si>
    <t>ALERTAS_038-23-91896.json</t>
  </si>
  <si>
    <t>ALERTAS_039-18-91643.json</t>
  </si>
  <si>
    <t>ALERTAS_039-19-91702.json</t>
  </si>
  <si>
    <t>ALERTAS_039-20-91771.json</t>
  </si>
  <si>
    <t>ALERTAS_039-23-91897.json</t>
  </si>
  <si>
    <t>ALERTAS_040-18-91714.json</t>
  </si>
  <si>
    <t>ALERTAS_040-19-91608.json</t>
  </si>
  <si>
    <t>ALERTAS_040-20-91772.json</t>
  </si>
  <si>
    <t>ALERTAS_041-18-91644.json</t>
  </si>
  <si>
    <t>ALERTAS_041-19-91609.json</t>
  </si>
  <si>
    <t>ALERTAS_041-20-91770.json</t>
  </si>
  <si>
    <t>ALERTAS_042-18-91715.json</t>
  </si>
  <si>
    <t>ALERTAS_042-19-91763.json</t>
  </si>
  <si>
    <t>ALERTAS_042-20-91773.json</t>
  </si>
  <si>
    <t>ALERTAS_043-18-91645.json</t>
  </si>
  <si>
    <t>ALERTAS_043-19-91703.json</t>
  </si>
  <si>
    <t>ALERTAS_043-20-91774.json</t>
  </si>
  <si>
    <t>ALERTAS_044-18-91618.json</t>
  </si>
  <si>
    <t>ALERTAS_044-19-91704.json</t>
  </si>
  <si>
    <t>ALERTAS_044-20-91775.json</t>
  </si>
  <si>
    <t>ALERTAS_045-18-91753.json</t>
  </si>
  <si>
    <t>ALERTAS_045-19-91705.json</t>
  </si>
  <si>
    <t>ALERTAS_045-20-91777.json</t>
  </si>
  <si>
    <t>ALERTAS_046-18-91748.json</t>
  </si>
  <si>
    <t>ALERTAS_046-19-91694.json</t>
  </si>
  <si>
    <t>ALERTAS_046-20-91780.json</t>
  </si>
  <si>
    <t>ALERTAS_047-18-91678.json</t>
  </si>
  <si>
    <t>ALERTAS_047-19-91610.json</t>
  </si>
  <si>
    <t>ALERTAS_047-20-91781.json</t>
  </si>
  <si>
    <t>ALERTAS_048-18-91679.json</t>
  </si>
  <si>
    <t>ALERTAS_048-19-91764.json</t>
  </si>
  <si>
    <t>ALERTAS_048-20-91782.json</t>
  </si>
  <si>
    <t>ALERTAS_049-18-91749.json</t>
  </si>
  <si>
    <t>ALERTAS_049-19-91706.json</t>
  </si>
  <si>
    <t>ALERTAS_049-20-91783.json</t>
  </si>
  <si>
    <t>ALERTAS_050-18-91683.json</t>
  </si>
  <si>
    <t>ALERTAS_050-19-91765.json</t>
  </si>
  <si>
    <t>ALERTAS_050-20-91784.json</t>
  </si>
  <si>
    <t>ALERTAS_051-18-91682.json</t>
  </si>
  <si>
    <t>ALERTAS_051-19-91707.json</t>
  </si>
  <si>
    <t>ALERTAS_051-20-91787.json</t>
  </si>
  <si>
    <t>ALERTAS_052-18-91751.json</t>
  </si>
  <si>
    <t>ALERTAS_052-19-91611.json</t>
  </si>
  <si>
    <t>ALERTAS_052-20-91785.json</t>
  </si>
  <si>
    <t>ALERTAS_053-18-91681.json</t>
  </si>
  <si>
    <t>ALERTAS_053-19-91612.json</t>
  </si>
  <si>
    <t>ALERTAS_053-20-91786.json</t>
  </si>
  <si>
    <t>ALERTAS_054-18-91750.json</t>
  </si>
  <si>
    <t>ALERTAS_054-19-91766.json</t>
  </si>
  <si>
    <t>ALERTAS_054-20-91788.json</t>
  </si>
  <si>
    <t>ALERTAS_055-18-91680.json</t>
  </si>
  <si>
    <t>ALERTAS_055-19-91769.json</t>
  </si>
  <si>
    <t>ALERTAS_056-18-91646.json</t>
  </si>
  <si>
    <t>ALERTAS_056-19-91709.json</t>
  </si>
  <si>
    <t>ALERTAS_057-18-91716.json</t>
  </si>
  <si>
    <t>ALERTAS_058-18-91647.json</t>
  </si>
  <si>
    <t>ALERTAS_059-18-91648.json</t>
  </si>
  <si>
    <t>ALERTAS_060-18-91649.json</t>
  </si>
  <si>
    <t>ALERTAS_061-18-91717.json</t>
  </si>
  <si>
    <t>ALERTAS_062-18-91718.json</t>
  </si>
  <si>
    <t>ALERTAS_063-18-91719.json</t>
  </si>
  <si>
    <t>ALERTAS_064-18-91650.json</t>
  </si>
  <si>
    <t>ALERTAS_065-18-91720.json</t>
  </si>
  <si>
    <t>ALERTAS_066-18-91721.json</t>
  </si>
  <si>
    <t>ALERTAS_067-18-91690.json</t>
  </si>
  <si>
    <t>ALERTAS_068-18-91677.json</t>
  </si>
  <si>
    <t>ALERTAS_069-18-91619.json</t>
  </si>
  <si>
    <t>ALERTAS_070-18-91616.json</t>
  </si>
  <si>
    <t>ALERTAS_071-18-91651.json</t>
  </si>
  <si>
    <t>ALERTAS_072-18-91652.json</t>
  </si>
  <si>
    <t>ALERTAS_073-18-91620.json</t>
  </si>
  <si>
    <t>ALERTAS_074-18-91752.json</t>
  </si>
  <si>
    <t>ALERTAS_075-18-91684.json</t>
  </si>
  <si>
    <t>ALERTAS_076-18-91722.json</t>
  </si>
  <si>
    <t>ALERTAS_077-18-91653.json</t>
  </si>
  <si>
    <t>ALERTAS_078-18-91658.json</t>
  </si>
  <si>
    <t>ALERTAS_079-18-91656.json</t>
  </si>
  <si>
    <t>ALERTAS_080-18-91723.json</t>
  </si>
  <si>
    <t>ALERTAS_081-18-91724.json</t>
  </si>
  <si>
    <t>ALERTAS_082-18-91725.json</t>
  </si>
  <si>
    <t>ALERTAS_083-18-91726.json</t>
  </si>
  <si>
    <t>ALERTAS_084-18-91727.json</t>
  </si>
  <si>
    <t>ALERTAS_085-18-91654.json</t>
  </si>
  <si>
    <t>ALERTAS_086-18-91728.json</t>
  </si>
  <si>
    <t>ALERTAS_informes001.pdf</t>
  </si>
  <si>
    <t>F3_Dinamicas_Territoriales/Alertas_Tempranas/pdfs/Informes</t>
  </si>
  <si>
    <t>ALERTAS_informes002.pdf</t>
  </si>
  <si>
    <t>ALERTAS_informes003.pdf</t>
  </si>
  <si>
    <t>ALERTAS_informes004.pdf</t>
  </si>
  <si>
    <t>ALERTAS_informes005.pdf</t>
  </si>
  <si>
    <t>ALERTAS_informes006.pdf</t>
  </si>
  <si>
    <t>ALERTAS_informes007.pdf</t>
  </si>
  <si>
    <t>ALERTAS_informes008.pdf</t>
  </si>
  <si>
    <t>ALERTAS_informes009.pdf</t>
  </si>
  <si>
    <t>ALERTAS_informes010.pdf</t>
  </si>
  <si>
    <t>ALERTAS_informes011.pdf</t>
  </si>
  <si>
    <t>ALERTAS_informes012.pdf</t>
  </si>
  <si>
    <t>ALERTAS_informes013.pdf</t>
  </si>
  <si>
    <t>ALERTAS_informes014.pdf</t>
  </si>
  <si>
    <t>ALERTAS_informes015.pdf</t>
  </si>
  <si>
    <t>ALERTAS_informes016.pdf</t>
  </si>
  <si>
    <t>ALERTAS_informes017.pdf</t>
  </si>
  <si>
    <t>ALERTAS_informes018.pdf</t>
  </si>
  <si>
    <t>ALERTAS_informes019.pdf</t>
  </si>
  <si>
    <t>ALERTAS_informes020.pdf</t>
  </si>
  <si>
    <t>ALERTAS_informes021.pdf</t>
  </si>
  <si>
    <t>ALERTAS_informes022.pdf</t>
  </si>
  <si>
    <t>ALERTAS_informes023.pdf</t>
  </si>
  <si>
    <t>ALERTAS_informes024.pdf</t>
  </si>
  <si>
    <t>ALERTAS_informes025.pdf</t>
  </si>
  <si>
    <t>ALERTAS_informes026.pdf</t>
  </si>
  <si>
    <t>ALERTAS_informes027.pdf</t>
  </si>
  <si>
    <t>ALERTAS_informes028.pdf</t>
  </si>
  <si>
    <t>ALERTAS_informes029.pdf</t>
  </si>
  <si>
    <t>ALERTAS_informes030.pdf</t>
  </si>
  <si>
    <t>ALERTAS_informes031.pdf</t>
  </si>
  <si>
    <t>ALERTAS_informes032.pdf</t>
  </si>
  <si>
    <t>ALERTAS_informes033.pdf</t>
  </si>
  <si>
    <t>ALERTAS_informes034.pdf</t>
  </si>
  <si>
    <t>ALERTAS_informes035.pdf</t>
  </si>
  <si>
    <t>ALERTAS_informes036.pdf</t>
  </si>
  <si>
    <t>ALERTAS_informes037.pdf</t>
  </si>
  <si>
    <t>ALERTAS_informes038.pdf</t>
  </si>
  <si>
    <t>ALERTAS_informes039.pdf</t>
  </si>
  <si>
    <t>ALERTAS_informes040.pdf</t>
  </si>
  <si>
    <t>ALERTAS_informes041.pdf</t>
  </si>
  <si>
    <t>ALERTAS_informes042.pdf</t>
  </si>
  <si>
    <t>ALERTAS_informes043.pdf</t>
  </si>
  <si>
    <t>ALERTAS_informes044.pdf</t>
  </si>
  <si>
    <t>ALERTAS_informes045.pdf</t>
  </si>
  <si>
    <t>ALERTAS_informes046.pdf</t>
  </si>
  <si>
    <t>ALERTAS_informes047.pdf</t>
  </si>
  <si>
    <t>ALERTAS_informes048.pdf</t>
  </si>
  <si>
    <t>ALERTAS_informes049.pdf</t>
  </si>
  <si>
    <t>ALERTAS_informes050.pdf</t>
  </si>
  <si>
    <t>ALERTAS_informes051.pdf</t>
  </si>
  <si>
    <t>ALERTAS_informes052.pdf</t>
  </si>
  <si>
    <t>ALERTAS_informes053.pdf</t>
  </si>
  <si>
    <t>ALERTAS_informes054.pdf</t>
  </si>
  <si>
    <t>ALERTAS_informes055.pdf</t>
  </si>
  <si>
    <t>ALERTAS_informes056.pdf</t>
  </si>
  <si>
    <t>ALERTAS_informes057.pdf</t>
  </si>
  <si>
    <t>ALERTAS_informes058.pdf</t>
  </si>
  <si>
    <t>ALERTAS_informes059.pdf</t>
  </si>
  <si>
    <t>ALERTAS_informes060.pdf</t>
  </si>
  <si>
    <t>ALERTAS_informes061.pdf</t>
  </si>
  <si>
    <t>ALERTAS_informes062.pdf</t>
  </si>
  <si>
    <t>AMAZONUW_15.pbf</t>
  </si>
  <si>
    <t>F3_Dinamicas_Territoriales/Amazon_Underworld/tiles/5/10</t>
  </si>
  <si>
    <t>F3_Dinamicas_Territoriales/Amazon_Underworld/tiles/5/11</t>
  </si>
  <si>
    <t>F3_Dinamicas_Territoriales/Amazon_Underworld/tiles/5/8</t>
  </si>
  <si>
    <t>F3_Dinamicas_Territoriales/Amazon_Underworld/tiles/5/9</t>
  </si>
  <si>
    <t>AMAZONUW_16.pbf</t>
  </si>
  <si>
    <t>F3_Dinamicas_Territoriales/Amazon_Underworld/tiles/5/12</t>
  </si>
  <si>
    <t>AMAZONUW_17.pbf</t>
  </si>
  <si>
    <t>AMAZONUW_3.pbf</t>
  </si>
  <si>
    <t>F3_Dinamicas_Territoriales/Amazon_Underworld/tiles/3/2</t>
  </si>
  <si>
    <t>AMAZONUW_30.pbf</t>
  </si>
  <si>
    <t>F3_Dinamicas_Territoriales/Amazon_Underworld/tiles/6/16</t>
  </si>
  <si>
    <t>F3_Dinamicas_Territoriales/Amazon_Underworld/tiles/6/17</t>
  </si>
  <si>
    <t>F3_Dinamicas_Territoriales/Amazon_Underworld/tiles/6/18</t>
  </si>
  <si>
    <t>F3_Dinamicas_Territoriales/Amazon_Underworld/tiles/6/19</t>
  </si>
  <si>
    <t>F3_Dinamicas_Territoriales/Amazon_Underworld/tiles/6/20</t>
  </si>
  <si>
    <t>F3_Dinamicas_Territoriales/Amazon_Underworld/tiles/6/21</t>
  </si>
  <si>
    <t>F3_Dinamicas_Territoriales/Amazon_Underworld/tiles/6/22</t>
  </si>
  <si>
    <t>F3_Dinamicas_Territoriales/Amazon_Underworld/tiles/6/23</t>
  </si>
  <si>
    <t>AMAZONUW_31.pbf</t>
  </si>
  <si>
    <t>AMAZONUW_32.pbf</t>
  </si>
  <si>
    <t>F3_Dinamicas_Territoriales/Amazon_Underworld/tiles/6/24</t>
  </si>
  <si>
    <t>F3_Dinamicas_Territoriales/Amazon_Underworld/tiles/6/25</t>
  </si>
  <si>
    <t>AMAZONUW_33.pbf</t>
  </si>
  <si>
    <t>AMAZONUW_34.pbf</t>
  </si>
  <si>
    <t>AMAZONUW_35.pbf</t>
  </si>
  <si>
    <t>AMAZONUW_4.pbf</t>
  </si>
  <si>
    <t>F3_Dinamicas_Territoriales/Amazon_Underworld/tiles/3/3</t>
  </si>
  <si>
    <t>AMAZONUW_7.pbf</t>
  </si>
  <si>
    <t>F3_Dinamicas_Territoriales/Amazon_Underworld/tiles/4/4</t>
  </si>
  <si>
    <t>F3_Dinamicas_Territoriales/Amazon_Underworld/tiles/4/5</t>
  </si>
  <si>
    <t>AMAZONUW_8.pbf</t>
  </si>
  <si>
    <t>F3_Dinamicas_Territoriales/Amazon_Underworld/tiles/4/6</t>
  </si>
  <si>
    <t>AMAZONUW_amazonunderworld-data.csv</t>
  </si>
  <si>
    <t>F3_Dinamicas_Territoriales/Amazon_Underworld</t>
  </si>
  <si>
    <t>AMAZONUW_tiles-index.json</t>
  </si>
  <si>
    <t>CEEEP_issue10-55-las-consecuencias-que-se-derivan-de-la-consolidacion-del-eje-beijing-m.json</t>
  </si>
  <si>
    <t>F3_Dinamicas_Territoriales/CEEEP/articulos/revista</t>
  </si>
  <si>
    <t>CEEEP_issue10-64-la-experiencia-make-in-india-para-impulsar-el-desarrollo-y-la-autosufi.json</t>
  </si>
  <si>
    <t>CEEEP_issue10-65-espana-perdida-militar-disuasoria-ante-marruecos.json</t>
  </si>
  <si>
    <t>CEEEP_issue10-66-inteligencia-artificial-y-desinformacion-papel-en-los-conflictos-del-s.json</t>
  </si>
  <si>
    <t>CEEEP_issue10-67-desafios-de-la-inteligencia-militar-en-la-lucha-contra-el-terrorismo-e.json</t>
  </si>
  <si>
    <t>CEEEP_issue10-68-la-organizacion-del-tratado-de-cooperacion-amazonica-como-herramienta.json</t>
  </si>
  <si>
    <t>CEEEP_issue11-69-la-triada-de-la-guerra-de-clausewitz-un-modelo-en-evolucion-para-el-an.json</t>
  </si>
  <si>
    <t>CEEEP_issue11-70-el-sector-espacial-peruano-en-la-disrupcion-del-new-space-cuales-son-l.json</t>
  </si>
  <si>
    <t>CEEEP_issue11-71-orden-interno-definiendo-el-apoyo-de-las-fuerzas-armadas-a-la-policia.json</t>
  </si>
  <si>
    <t>CEEEP_issue11-72-inteligencia-artificial-y-ciberdefensa.json</t>
  </si>
  <si>
    <t>CEEEP_issue11-73-evolucion-de-la-seguridad-y-la-defensa-nacional-del-peru-en-interaccio.json</t>
  </si>
  <si>
    <t>CEEEP_issue11-74-radicalizacion-ideologica-crimen-organizado-y-seguridad-nacional-la-in.json</t>
  </si>
  <si>
    <t>CEEEP_issue12-75-las-fuerzas-armadas-en-el-control-del-orden-interno-y-en-el-apoyo-a-la.json</t>
  </si>
  <si>
    <t>CEEEP_issue12-76-la-rinconada-zona-de-amenazas-y-desafios-para-la-seguridad-nacional.json</t>
  </si>
  <si>
    <t>CEEEP_issue12-77-perspectivas-geopoliticas-en-siria-posterior-a-la-caida-de-bashar-al-a.json</t>
  </si>
  <si>
    <t>CEEEP_issue12-78-inteligencia-artificial-generativa-un-analisis-prospectivo-de-sus-impl.json</t>
  </si>
  <si>
    <t>CEEEP_issue12-79-hacia-la-conquista-del-espacio-retos-y-perspectivas-de-la-politica-aer.json</t>
  </si>
  <si>
    <t>CEEEP_issue12-80-la-exo-criminalidad-de-riesgo-un-desafio-emergente-a-la-seguridad-de-l.json</t>
  </si>
  <si>
    <t>CEEEP_issue13-81-el-papel-de-las-potencias-mundiales-en-el-conflicto-armado-palestino-i.json</t>
  </si>
  <si>
    <t>CEEEP_issue13-82-mineria-seguridad-nacional-y-gobernabilidad-amenazas-y-riesgos-estrate.json</t>
  </si>
  <si>
    <t>CEEEP_issue13-83-informalidad-corrupcion-e-impunidad-como-amenazas-estructurales-a-la-s.json</t>
  </si>
  <si>
    <t>CEEEP_issue13-84-geopolitica-del-siglo-xxi-y-el-peru-en-el-nuevo-orden-mundial.json</t>
  </si>
  <si>
    <t>CEEEP_issue13-85-tres-anos-de-guerra-en-ucrania-y-la-transformacion-del-caracter-belico.json</t>
  </si>
  <si>
    <t>CEEEP_issue13-86-analisis-de-la-participacion-de-las-fuerzas-armadas-en-el-desarrollo-s.json</t>
  </si>
  <si>
    <t>CEEEP_issue14-100-implementacion-de-la-gestion-por-procesos-y-su-relacion-con-la-calidad.json</t>
  </si>
  <si>
    <t>CEEEP_issue14-101-las-fuerzas-especiales-y-su-empleo-en-las-operaciones-de-informacion.json</t>
  </si>
  <si>
    <t>CEEEP_issue14-102-mas-alla-de-la-gestion-el-pensamiento-estrategico-como-etica-de-conduc.json</t>
  </si>
  <si>
    <t>CEEEP_issue14-95-corio-y-el-tablero-geopolitico-del-pacifico-sur-en-escenarios-de-compe.json</t>
  </si>
  <si>
    <t>CEEEP_issue14-96-ciudadania-en-el-peru-como-problema-publico-y-politica-nacional-multis.json</t>
  </si>
  <si>
    <t>CEEEP_issue14-97-modelo-de-planeamiento-militar-bilateral-para-la-cooperacion-en-seguri.json</t>
  </si>
  <si>
    <t>CEEEP_issue14-98-las-operaciones-chavin-de-huantar-y-cerco-hitos-de-la-victoria-militar.json</t>
  </si>
  <si>
    <t>CEEEP_issue14-99-la-filosofia-militar-y-el-poder-moral-del-ejercito-como-ejes-de-la-rei.json</t>
  </si>
  <si>
    <t>CEEEP_issue2-10-el-valioso-aporte-de-la-mujer-al-ejercito-del-peru.json</t>
  </si>
  <si>
    <t>CEEEP_issue2-5-el-avance-digital-de-china-en-america-latina.json</t>
  </si>
  <si>
    <t>CEEEP_issue2-6-redes-sociales-geopolitica-y-poder.json</t>
  </si>
  <si>
    <t>CEEEP_issue2-7-el-conflicto-en-ucrania-guerra-hibrida-e-intervencion-militar-convenci.json</t>
  </si>
  <si>
    <t>CEEEP_issue2-8-liderazgo-estrategico-en-el-ejercito-roles-y-competencias-esenciales.json</t>
  </si>
  <si>
    <t>CEEEP_issue2-9-cultura-organizacional-y-liderazgo-en-el-ejercito.json</t>
  </si>
  <si>
    <t>CEEEP_issue3-13-el-juego-estrategico-de-argentina-frente-a-los-intereses-de-china-y-es.json</t>
  </si>
  <si>
    <t>CEEEP_issue3-14-crimen-organizado-transnacional-en-la-triple-frontera-entre-brasil-col.json</t>
  </si>
  <si>
    <t>CEEEP_issue3-15-grupos-armados-organizados-residuales-y-amenazas-transfronterizas-en-e.json</t>
  </si>
  <si>
    <t>CEEEP_issue3-16-una-mirada-preliminar-desde-washington-al-nuevo-rumbo-de-colombia-y-a.json</t>
  </si>
  <si>
    <t>CEEEP_issue3-17-armas-autonomas-letales-medios-de-defensa-y-ataque.json</t>
  </si>
  <si>
    <t>CEEEP_issue3-18-reflexion-sobre-el-futuro-de-la-transformacion-militar.json</t>
  </si>
  <si>
    <t>CEEEP_issue4-11-la-transformacion-digital-aplicada-en-el-ejercito-brasileno-y-en-el-te.json</t>
  </si>
  <si>
    <t>CEEEP_issue4-19-cambio-climatico-relacion-intrinseca-con-la-seguridad-y-la-defensa.json</t>
  </si>
  <si>
    <t>CEEEP_issue4-20-armamentizacion-de-la-interdependencia-en-chips-entre-estados-unidos-y.json</t>
  </si>
  <si>
    <t>CEEEP_issue4-21-el-papel-estrategico-de-america-latina-en-un-conflicto-global-por-taiw.json</t>
  </si>
  <si>
    <t>CEEEP_issue4-22-importancia-del-desarrollo-de-la-resiliencia-en-el-personal-militar.json</t>
  </si>
  <si>
    <t>CEEEP_issue4-23-influencia-de-las-reformas-francesa-y-estadounidense-en-la-cultura-org.json</t>
  </si>
  <si>
    <t>CEEEP_issue5-25-la-antartida-importancia-geopolitica-y-economica.json</t>
  </si>
  <si>
    <t>CEEEP_issue5-26-el-valor-de-la-inteligencia-y-el-desarrollo-del-poder-militar-en-el-es.json</t>
  </si>
  <si>
    <t>CEEEP_issue5-27-empleo-del-poder-militar-flexibilidad-y-alcance-de-las-capacidades-no.json</t>
  </si>
  <si>
    <t>CEEEP_issue5-28-megapuerto-de-chancay-repercusiones-en-el-comercio-sudamericano-e-impa.json</t>
  </si>
  <si>
    <t>CEEEP_issue5-29-ciberdefensa-los-desafios-del-mundo-virtual.json</t>
  </si>
  <si>
    <t>CEEEP_issue5-30-la-nueva-configuracion-del-poder-mundial-china-e-india-conflictos-y-co.json</t>
  </si>
  <si>
    <t>CEEEP_issue6-32-el-desarrollo-tecnologico-en-el-ejercito-del-peru-una-perspectiva-estr.json</t>
  </si>
  <si>
    <t>CEEEP_issue6-33-la-inteligencia-artificial-en-el-ambito-militar-una-herramienta-releva.json</t>
  </si>
  <si>
    <t>CEEEP_issue6-34-sectores-estrategicos-imprecision-conceptual-y-debates-sobre-el-papel.json</t>
  </si>
  <si>
    <t>CEEEP_issue6-35-la-mistica-y-el-liderazgo-militar-como-parte-del-proceso-de-transforma.json</t>
  </si>
  <si>
    <t>CEEEP_issue6-36-la-estrategia-de-la-7ma-brigada-de-infanteria-en-lambayeque-frente-a-l.json</t>
  </si>
  <si>
    <t>CEEEP_issue6-37-importancia-de-las-operaciones-logisticas-del-ejercito-nacional-de-col.json</t>
  </si>
  <si>
    <t>CEEEP_issue7-40-modelos-comparados-de-contrainsurgencia-tradiciones-britanicas-y-franc.json</t>
  </si>
  <si>
    <t>CEEEP_issue7-41-tareas-y-retos-futuros-para-el-ejercito-nacional-una-mirada-holistica.json</t>
  </si>
  <si>
    <t>CEEEP_issue7-42-comando-y-control-en-el-ejercito-del-peru-metodos-analisis-y-el-metodo.json</t>
  </si>
  <si>
    <t>CEEEP_issue7-43-reanudacion-de-las-relaciones-de-iran-con-algunos-paises-de-america-la.json</t>
  </si>
  <si>
    <t>CEEEP_issue7-44-cultura-organizacional-elemento-esencial-en-el-proceso-de-transformaci.json</t>
  </si>
  <si>
    <t>CEEEP_issue7-45-la-naturaleza-de-las-amenazas-en-la-panamazonia.json</t>
  </si>
  <si>
    <t>CEEEP_issue8-47-preparacion-de-la-politica-nacional-multisectorial-de-seguridad-y-defe.json</t>
  </si>
  <si>
    <t>CEEEP_issue8-48-destruccion-de-la-seguridad-hidrica-y-mineria-en-el-sur-del-peru-un-at.json</t>
  </si>
  <si>
    <t>CEEEP_issue8-49-trazando-estrategias-desafios-y-reflexiones-sobre-el-narcotrafico-y-el.json</t>
  </si>
  <si>
    <t>CEEEP_issue8-50-presencia-y-aceptacion-de-los-movimientos-regionales-en-el-sur-del-pai.json</t>
  </si>
  <si>
    <t>CEEEP_issue8-51-seguridad-nacional-relaciones-internacionales-y-bienestar-social-en-la.json</t>
  </si>
  <si>
    <t>CEEEP_issue8-52-evolucion-del-conflicto-militar-contraofensiva-en-ucrania.json</t>
  </si>
  <si>
    <t>CEEEP_issue9-56-argentina-retos-de-seguridad-y-respuesta-del-gobierno.json</t>
  </si>
  <si>
    <t>CEEEP_issue9-57-la-inseguridad-es-lo-que-los-estados-hacen-de-ella-la-seguritizacion-d.json</t>
  </si>
  <si>
    <t>CEEEP_issue9-58-isis-k-un-reinicio-del-terrorismo-yihadista.json</t>
  </si>
  <si>
    <t>CEEEP_issue9-59-el-alto-huallaga-un-caso-de-exito.json</t>
  </si>
  <si>
    <t>CEEEP_issue9-60-consecuencias-transnacionales-del-proceso-de-paz-colombia-farc.json</t>
  </si>
  <si>
    <t>CEEEP_issue9-61-seguridad-en-las-redes-sociales-navegando-con-conciencia-cibernetica-y.json</t>
  </si>
  <si>
    <t>CEOBS_01.json</t>
  </si>
  <si>
    <t>F3_Dinamicas_Territoriales/CEOBS/articulos</t>
  </si>
  <si>
    <t>CEOBS_03.json</t>
  </si>
  <si>
    <t>CEOBS_0313-summary.pdf</t>
  </si>
  <si>
    <t>F3_Dinamicas_Territoriales/CEOBS/pdfs_full/2026</t>
  </si>
  <si>
    <t>CEOBS_04.json</t>
  </si>
  <si>
    <t>CEOBS_06.json</t>
  </si>
  <si>
    <t>CEOBS_08.json</t>
  </si>
  <si>
    <t>CEOBS_10.json</t>
  </si>
  <si>
    <t>CEOBS_2025-11-27-monitoring-sudans-artisanal-and-small-scale-gold-mining-from-space.json</t>
  </si>
  <si>
    <t>CEOBS_2025-12-04-evidencing-a-recovery-plan-for-black-sea-dolphins-and-porpoises.json</t>
  </si>
  <si>
    <t>CEOBS_2025-12-08-has-the-icc-just-advanced-accountability-for-wartime-environmental-damage.json</t>
  </si>
  <si>
    <t>CEOBS_2026-03-03-three-days-of-operation-epic-fury-rapid-overview-of-environmental-harm-in-iran-.json</t>
  </si>
  <si>
    <t>CEOBS_2026-03-10-operation-epic-fury-emerging-environmental-harm-and-risks-in-iran-and-the-regio.json</t>
  </si>
  <si>
    <t>CEOBS_2026-03-27-iran-war-environmental-risk-overview-as-of-27th-march.json</t>
  </si>
  <si>
    <t>CEOBS_2026-04-29-report-academias-role-in-ukraines-sustainable-recovery.json</t>
  </si>
  <si>
    <t>CEOBS_2026-05-06-webinar-introducing-the-wisen-database-towards-a-global-environmental-monitorin.json</t>
  </si>
  <si>
    <t>CEOBS_2026-05-21-introducing-wisen-the-wartime-incidents-to-environment-database.json</t>
  </si>
  <si>
    <t>CEOBS_2026-06-01-training-and-tools-for-imas-07-13-environmental-and-climate-compliance.json</t>
  </si>
  <si>
    <t>CEOBS_2026032506514742771268534.pdf</t>
  </si>
  <si>
    <t>CEOBS_21.json</t>
  </si>
  <si>
    <t>CEOBS_27.json</t>
  </si>
  <si>
    <t>CEOBS_29.json</t>
  </si>
  <si>
    <t>CEOBS_7b5c64be-en-mines-risk-analysis-black-sea.pdf</t>
  </si>
  <si>
    <t>F3_Dinamicas_Territoriales/CEOBS/pdfs_full/2025</t>
  </si>
  <si>
    <t>CEOBS_8997-artisanal-gold-mining-camps-in-the-butana-eastern-sudan-as-migration-hubs.pdf</t>
  </si>
  <si>
    <t>CEOBS_9.vol18-3-arda.pdf</t>
  </si>
  <si>
    <t>CEOBS_catalog-2.json</t>
  </si>
  <si>
    <t>F3_Dinamicas_Territoriales/CEOBS/ceobs_data</t>
  </si>
  <si>
    <t>CEOBS_ej1083597.pdf</t>
  </si>
  <si>
    <t>CEOBS_eprs-bri2025767238-en.pdf</t>
  </si>
  <si>
    <t>CEOBS_green-field-tool-user-guidance-march-2025.pdf</t>
  </si>
  <si>
    <t>CEOBS_initiatives-support-ukraine-list.pdf</t>
  </si>
  <si>
    <t>CEOBS_minamata-convention-initial-assessment-for-sudan.pdf</t>
  </si>
  <si>
    <t>CEOBS_open-letter-ukraine-all-alliances-updated-070525.pdf</t>
  </si>
  <si>
    <t>CEOBS_priority-pollutant-list-epa.pdf</t>
  </si>
  <si>
    <t>CEOBS_publicaciones-2.csv</t>
  </si>
  <si>
    <t>CEOBS_rccc-country-profiles-sudan-2024-final.pdf</t>
  </si>
  <si>
    <t>CEOBS_reevesnotarbartolo2006.pdf</t>
  </si>
  <si>
    <t>CEOBS_report-ukraine-2024-1.pdf</t>
  </si>
  <si>
    <t>CEOBS_rome-statute-eng.pdf</t>
  </si>
  <si>
    <t>F3_Dinamicas_Territoriales/CEOBS/ceobs_data/pdfs</t>
  </si>
  <si>
    <t>CEOBS_sc16.doc27-final-report-of-the-sc16.pdf</t>
  </si>
  <si>
    <t>MAPPOEA_2008-la-memoria-como-forma-de-resistencia-de-los-arhuacos.pdf</t>
  </si>
  <si>
    <t>F3_Dinamicas_Territoriales/MAPP_OEA/pdfs/2008</t>
  </si>
  <si>
    <t>MAPPOEA_2008-las-madres-de-la-candelaria.pdf</t>
  </si>
  <si>
    <t>MAPPOEA_2008-una-experiencia-de-justicia-comunitaria-conciliemos.pdf</t>
  </si>
  <si>
    <t>MAPPOEA_2010-acompanando-una-oportunidad-para-la-paz.pdf</t>
  </si>
  <si>
    <t>F3_Dinamicas_Territoriales/MAPP_OEA/pdfs/2010</t>
  </si>
  <si>
    <t>MAPPOEA_2011-diagnostico-de-justicia-y-paz-en-el-marco-de-la-justicia-transicional-en-col.-1.pdf</t>
  </si>
  <si>
    <t>F3_Dinamicas_Territoriales/MAPP_OEA/pdfs/2011</t>
  </si>
  <si>
    <t>MAPPOEA_2011-identidad-e-imagenes.-sabaletas-un-pueblo-con-memoria-1-compressed.pdf</t>
  </si>
  <si>
    <t>MAPPOEA_2012-ddr-intervenciones-especificas-para-las-mujeres-2009-2010.pdf</t>
  </si>
  <si>
    <t>F3_Dinamicas_Territoriales/MAPP_OEA/pdfs/2012</t>
  </si>
  <si>
    <t>MAPPOEA_2013-la-restitucion-de-tierras-en-la-ley-975-de-2005-compressed-1.pdf</t>
  </si>
  <si>
    <t>F3_Dinamicas_Territoriales/MAPP_OEA/pdfs/2013</t>
  </si>
  <si>
    <t>MAPPOEA_2013-plan-de-choque-para-la-restitucion-y-formalizacion-de-tierras-en-col.-compressed.pdf</t>
  </si>
  <si>
    <t>MAPPOEA_2014-conversatorios-sobre-restitucion-de-tierras-y-territorios-compressed.pdf</t>
  </si>
  <si>
    <t>F3_Dinamicas_Territoriales/MAPP_OEA/pdfs/2014</t>
  </si>
  <si>
    <t>MAPPOEA_2016-la-prueba-social-y-de-contexto.pdf</t>
  </si>
  <si>
    <t>F3_Dinamicas_Territoriales/MAPP_OEA/pdfs/2016</t>
  </si>
  <si>
    <t>MAPPOEA_37informesemestralmappoeaeng.pdf</t>
  </si>
  <si>
    <t>F3_Dinamicas_Territoriales/MAPP_OEA/oea/mapp_oea_informes/eng</t>
  </si>
  <si>
    <t>MAPPOEA_37informesemestralmappoeaesp.pdf</t>
  </si>
  <si>
    <t>F3_Dinamicas_Territoriales/MAPP_OEA/pdfs/2025</t>
  </si>
  <si>
    <t>MAPPOEA_cp-informe-mappoea-39-esp.pdf</t>
  </si>
  <si>
    <t>MAPPOEA_cp51877ecp-1.pdf</t>
  </si>
  <si>
    <t>MAPPOEA_cp51877scp-1.pdf</t>
  </si>
  <si>
    <t>MAPPOEA_desafios-de-gestion-del-conocimiento-para-la-construccion-de-paz-af.pdf</t>
  </si>
  <si>
    <t>MAPPOEA_informe-mappoea-35.pdf</t>
  </si>
  <si>
    <t>F3_Dinamicas_Territoriales/MAPP_OEA/pdfs/2023</t>
  </si>
  <si>
    <t>MAPPOEA_informe-periodico-40-esp-1-1.pdf</t>
  </si>
  <si>
    <t>F3_Dinamicas_Territoriales/MAPP_OEA/pdfs/2026</t>
  </si>
  <si>
    <t>MAPPOEA_informe-semestral-36-mappoea-1.pdf</t>
  </si>
  <si>
    <t>F3_Dinamicas_Territoriales/MAPP_OEA/pdfs/2024</t>
  </si>
  <si>
    <t>MAPPOEA_informe-semestral-xxxii-mappoea.pdf</t>
  </si>
  <si>
    <t>F3_Dinamicas_Territoriales/MAPP_OEA/pdfs/2022</t>
  </si>
  <si>
    <t>MAPPOEA_informe-semestral-xxxiii-mappoea.pdf</t>
  </si>
  <si>
    <t>MAPPOEA_informe-xxxiv-esp-1.pdf</t>
  </si>
  <si>
    <t>MAPPOEA_manual-para-la-participacion-de-las-victimas-ante-la-jep-version-corta.pdf</t>
  </si>
  <si>
    <t>F3_Dinamicas_Territoriales/MAPP_OEA/pdfs/2020</t>
  </si>
  <si>
    <t>MAPPOEA_mapp-catalog.csv</t>
  </si>
  <si>
    <t>F3_Dinamicas_Territoriales/MAPP_OEA/oea/mapp_oea_informes</t>
  </si>
  <si>
    <t>MAPPOEA_mapp-catalog.json</t>
  </si>
  <si>
    <t>MAPPOEA_revista-mappoea-15-anos-hechos-de-paz-1pag-1.pdf</t>
  </si>
  <si>
    <t>MAPPOEA_xxiii-informe-esp.pdf</t>
  </si>
  <si>
    <t>F3_Dinamicas_Territoriales/MAPP_OEA/pdfs/2018</t>
  </si>
  <si>
    <t>MAPPOEA_xxix-informe-semestral.pdf</t>
  </si>
  <si>
    <t>MAPPOEA_xxv-informe-semestral-version-oficial-cp40544s03.pdf</t>
  </si>
  <si>
    <t>F3_Dinamicas_Territoriales/MAPP_OEA/pdfs/2019</t>
  </si>
  <si>
    <t>MAPPOEA_xxvi-informe-semestral-mappoea.pdf</t>
  </si>
  <si>
    <t>MAPPOEA_xxvii-informe-semestral-espanol.pdf</t>
  </si>
  <si>
    <t>MAPPOEA_xxviii-informe-semestral-espanol.pdf</t>
  </si>
  <si>
    <t>MAPPOEA_xxx-informe-semestral.pdf</t>
  </si>
  <si>
    <t>F3_Dinamicas_Territoriales/MAPP_OEA/pdfs/2021</t>
  </si>
  <si>
    <t>MAPPOEA_xxxi-informe-semestral-mappoea.pdf</t>
  </si>
  <si>
    <t>RESDAL_0-esp-primeraslaregion.pdf</t>
  </si>
  <si>
    <t>F3_Dinamicas_Territoriales/RESDAL/pdfs/Atlas_2024</t>
  </si>
  <si>
    <t>RESDAL_01-esp-el-marco-legal.pdf</t>
  </si>
  <si>
    <t>RESDAL_02-esp-las-instituciones.pdf</t>
  </si>
  <si>
    <t>RESDAL_03-esp-elpresupuesto.pdf</t>
  </si>
  <si>
    <t>RESDAL_04-esp-lasfuerzasarmadas.pdf</t>
  </si>
  <si>
    <t>RESDAL_05-esp-relacionesinternacionales.pdf</t>
  </si>
  <si>
    <t>RESDAL_06-esp-mujerpazyseguridad.pdf</t>
  </si>
  <si>
    <t>RESDAL_07-esp-gestiondelriesgoyemergencias.pdf</t>
  </si>
  <si>
    <t>RESDAL_08-esp-caribe.pdf</t>
  </si>
  <si>
    <t>RESDAL_10-esp-bolivia.pdf</t>
  </si>
  <si>
    <t>RESDAL_11-esp-brasil.pdf</t>
  </si>
  <si>
    <t>RESDAL_12-esp-chile.pdf</t>
  </si>
  <si>
    <t>RESDAL_13-esp-colombia.pdf</t>
  </si>
  <si>
    <t>RESDAL_14-esp-costa-rica.pdf</t>
  </si>
  <si>
    <t>RESDAL_15-esp-cuba.pdf</t>
  </si>
  <si>
    <t>RESDAL_16-esp-ecuador.pdf</t>
  </si>
  <si>
    <t>RESDAL_17-esp-elsalvador.pdf</t>
  </si>
  <si>
    <t>RESDAL_18-esp-guatemala.pdf</t>
  </si>
  <si>
    <t>RESDAL_19-esp-haiti.pdf</t>
  </si>
  <si>
    <t>RESDAL_20-esp-honduras.pdf</t>
  </si>
  <si>
    <t>RESDAL_2014-complete2.pdf</t>
  </si>
  <si>
    <t>F3_Dinamicas_Territoriales/RESDAL/resdal_atlas/2014_eng</t>
  </si>
  <si>
    <t>RESDAL_21-esp-mexico.pdf</t>
  </si>
  <si>
    <t>RESDAL_22-esp-nicaragua.pdf</t>
  </si>
  <si>
    <t>RESDAL_23-esp-panama.pdf</t>
  </si>
  <si>
    <t>RESDAL_24-esp-paraguay.pdf</t>
  </si>
  <si>
    <t>RESDAL_25-esp-peru.pdf</t>
  </si>
  <si>
    <t>RESDAL_26-esp-republica-dominicana.pdf</t>
  </si>
  <si>
    <t>RESDAL_27-esp-uruguay.pdf</t>
  </si>
  <si>
    <t>RESDAL_28-esp-venezuela.pdf</t>
  </si>
  <si>
    <t>RESDAL_9-esp-argentina.pdf</t>
  </si>
  <si>
    <t>RESDAL_acoso-y-ab-sex-en-instituciones-de-defensa.pdf</t>
  </si>
  <si>
    <t>F3_Dinamicas_Territoriales/RESDAL/pdfs/Publicaciones</t>
  </si>
  <si>
    <t>RESDAL_atlas-2005-esp.pdf</t>
  </si>
  <si>
    <t>F3_Dinamicas_Territoriales/RESDAL/pdfs/Atlas_Anteriores</t>
  </si>
  <si>
    <t>RESDAL_atlas-2012-ing-completo.pdf</t>
  </si>
  <si>
    <t>RESDAL_atlas-2014-chapter-00-theregion2.pdf</t>
  </si>
  <si>
    <t>RESDAL_atlas-2014-chapter-000-presentation2.pdf</t>
  </si>
  <si>
    <t>RESDAL_atlas-2014-chapter-01-thelegalframework2.pdf</t>
  </si>
  <si>
    <t>RESDAL_atlas-2014-chapter-02-theinstitutions2.pdf</t>
  </si>
  <si>
    <t>RESDAL_atlas-2014-chapter-03-thebudgets2.pdf</t>
  </si>
  <si>
    <t>RESDAL_atlas-2014-chapter-04-politicaldefinitions2.pdf</t>
  </si>
  <si>
    <t>RESDAL_atlas-2014-chapter-05-hemisphericrelations2.pdf</t>
  </si>
  <si>
    <t>RESDAL_atlas-2014-chapter-06-education2.pdf</t>
  </si>
  <si>
    <t>RESDAL_atlas-2014-chapter-07-thearmedforces2.pdf</t>
  </si>
  <si>
    <t>RESDAL_atlas-2014-chapter-08-defenceandnationalandinternationalcommunity22.pdf</t>
  </si>
  <si>
    <t>RESDAL_atlas-2014-chapter-09-specialsection-thecaribbean2.pdf</t>
  </si>
  <si>
    <t>RESDAL_atlas-2014-chapter-10-thecasesofcostaricahaitiandpanama22.pdf</t>
  </si>
  <si>
    <t>RESDAL_atlas-2014-chapter-11-argentina2.pdf</t>
  </si>
  <si>
    <t>RESDAL_atlas-2014-chapter-12-bolivia2.pdf</t>
  </si>
  <si>
    <t>RESDAL_atlas-2014-chapter-13-brazil2.pdf</t>
  </si>
  <si>
    <t>RESDAL_atlas-2014-chapter-14-chile2.pdf</t>
  </si>
  <si>
    <t>RESDAL_atlas-2014-chapter-15-colombia2.pdf</t>
  </si>
  <si>
    <t>RESDAL_atlas-2014-chapter-16-cuba22.pdf</t>
  </si>
  <si>
    <t>RESDAL_atlas-2014-chapter-17-dominicanrepublic2.pdf</t>
  </si>
  <si>
    <t>RESDAL_atlas-2014-chapter-18-ecuador2.pdf</t>
  </si>
  <si>
    <t>RESDAL_atlas-2014-chapter-19-el-salvador2.pdf</t>
  </si>
  <si>
    <t>RESDAL_atlas-2014-chapter-20-guatemala2.pdf</t>
  </si>
  <si>
    <t>RESDAL_atlas-2014-chapter-21-honduras2.pdf</t>
  </si>
  <si>
    <t>RESDAL_atlas-2014-chapter-22-mexico2.pdf</t>
  </si>
  <si>
    <t>RESDAL_atlas-2014-chapter-23-nicaragua2.pdf</t>
  </si>
  <si>
    <t>RESDAL_atlas-2014-chapter-24-paraguay2.pdf</t>
  </si>
  <si>
    <t>RESDAL_atlas-2014-chapter-25-peru2.pdf</t>
  </si>
  <si>
    <t>RESDAL_atlas-2014-chapter-26-uruguay2.pdf</t>
  </si>
  <si>
    <t>RESDAL_atlas-2014-chapter-27-venezuela22.pdf</t>
  </si>
  <si>
    <t>RESDAL_atlas-2016-ing-0.pdf</t>
  </si>
  <si>
    <t>F3_Dinamicas_Territoriales/RESDAL/resdal_atlas/2016_eng</t>
  </si>
  <si>
    <t>RESDAL_atlas-2016-ing-00.pdf</t>
  </si>
  <si>
    <t>RESDAL_atlas-2016-ing-01.pdf</t>
  </si>
  <si>
    <t>RESDAL_atlas-2016-ing-02.pdf</t>
  </si>
  <si>
    <t>RESDAL_atlas-2016-ing-03.pdf</t>
  </si>
  <si>
    <t>RESDAL_atlas-2016-ing-04.pdf</t>
  </si>
  <si>
    <t>RESDAL_atlas-2016-ing-05.pdf</t>
  </si>
  <si>
    <t>RESDAL_atlas-2016-ing-06.pdf</t>
  </si>
  <si>
    <t>RESDAL_atlas-2016-ing-07.pdf</t>
  </si>
  <si>
    <t>RESDAL_atlas-2016-ing-08.pdf</t>
  </si>
  <si>
    <t>RESDAL_atlas-2016-ing-09.pdf</t>
  </si>
  <si>
    <t>RESDAL_atlas-2016-ing-10.pdf</t>
  </si>
  <si>
    <t>RESDAL_atlas-2016-ing-11.pdf</t>
  </si>
  <si>
    <t>RESDAL_atlas-2016-ing-12.pdf</t>
  </si>
  <si>
    <t>RESDAL_atlas-2016-ing-13.pdf</t>
  </si>
  <si>
    <t>RESDAL_atlas-2016-ing-14.pdf</t>
  </si>
  <si>
    <t>RESDAL_atlas-2016-ing-15.pdf</t>
  </si>
  <si>
    <t>RESDAL_atlas-2016-ing-16.pdf</t>
  </si>
  <si>
    <t>RESDAL_atlas-2016-ing-17.pdf</t>
  </si>
  <si>
    <t>RESDAL_atlas-2016-ing-18.pdf</t>
  </si>
  <si>
    <t>RESDAL_atlas-2016-ing-19.pdf</t>
  </si>
  <si>
    <t>RESDAL_atlas-2016-ing-20.pdf</t>
  </si>
  <si>
    <t>RESDAL_atlas-2016-ing-21.pdf</t>
  </si>
  <si>
    <t>RESDAL_atlas-2016-ing-22.pdf</t>
  </si>
  <si>
    <t>RESDAL_atlas-2016-ing-23.pdf</t>
  </si>
  <si>
    <t>RESDAL_atlas-2016-ing-24.pdf</t>
  </si>
  <si>
    <t>RESDAL_atlas-2016-ing-25.pdf</t>
  </si>
  <si>
    <t>RESDAL_atlas-2016-ing-26.pdf</t>
  </si>
  <si>
    <t>RESDAL_atlas-2016-ing-completo.pdf</t>
  </si>
  <si>
    <t>RESDAL_atlas-2024-esp.pdf</t>
  </si>
  <si>
    <t>RESDAL_atlas-completo-2.pdf</t>
  </si>
  <si>
    <t>RESDAL_atlas-completo.pdf</t>
  </si>
  <si>
    <t>RESDAL_atlas-completo2010-ingles.pdf</t>
  </si>
  <si>
    <t>RESDAL_boletin-covid-3-esp.pdf</t>
  </si>
  <si>
    <t>RESDAL_boletincovidi.pdf</t>
  </si>
  <si>
    <t>RESDAL_catalog-2.csv</t>
  </si>
  <si>
    <t>F3_Dinamicas_Territoriales/RESDAL/resdal_atlas</t>
  </si>
  <si>
    <t>RESDAL_catalog-2.json</t>
  </si>
  <si>
    <t>RESDAL_collaborative-research-report-2021-13828.pdf</t>
  </si>
  <si>
    <t>RESDAL_contemplating-trends-for-2023-in-security-and-democracy-a-cross-regional-collaboration-wit.pdf</t>
  </si>
  <si>
    <t>RESDAL_esp-lospaises.pdf</t>
  </si>
  <si>
    <t>RESDAL_mpys-01-culturaorganizacional.pdf</t>
  </si>
  <si>
    <t>RESDAL_newsletter-covid-n2-eng-final.pdf</t>
  </si>
  <si>
    <t>RESDAL_policy-brief-mena-final.pdf</t>
  </si>
  <si>
    <t>RESDAL_uruguay-elsie-barrier-version-final.pdf</t>
  </si>
  <si>
    <t>RESDAL_uruguay-elsie-mowip-english-final-0.pdf</t>
  </si>
  <si>
    <t>SIPRI_0226-milai-procurement-260216.pdf</t>
  </si>
  <si>
    <t>F3_Dinamicas_Territoriales/SIPRI/pdfs_full/2026</t>
  </si>
  <si>
    <t>SIPRI_0226-milai-procurement-kr.pdf</t>
  </si>
  <si>
    <t>SIPRI_0226-rpp-chinese-perspectives-0.pdf</t>
  </si>
  <si>
    <t>SIPRI_0226-rpp-chinese-perspectives-chinese.pdf</t>
  </si>
  <si>
    <t>SIPRI_0326-calibrating-deterrence.pdf</t>
  </si>
  <si>
    <t>SIPRI_0326-preventing-biological-weapons-proliferation-0.pdf</t>
  </si>
  <si>
    <t>SIPRI_0626-building-an-effective-infrastructure-for-peace-in-syria-and-lebanon.pdf</t>
  </si>
  <si>
    <t>SIPRI_0626-transitions-just-future.pdf</t>
  </si>
  <si>
    <t>SIPRI_0725-military-and-security-dimensions-of-quantum-technologies-0.pdf</t>
  </si>
  <si>
    <t>F3_Dinamicas_Territoriales/SIPRI/pdfs_full/2025</t>
  </si>
  <si>
    <t>SIPRI_0825-ai-military-bias.pdf</t>
  </si>
  <si>
    <t>SIPRI_0925-export-controls-and-spyware.pdf</t>
  </si>
  <si>
    <t>SIPRI_1125-civilian-ai.pdf</t>
  </si>
  <si>
    <t>SIPRI_1225-green-geopolitics-ukraine.pdf</t>
  </si>
  <si>
    <t>SIPRI_2021.pdf</t>
  </si>
  <si>
    <t>F3_Dinamicas_Territoriales/SIPRI/sipri_data/pdfs</t>
  </si>
  <si>
    <t>SIPRI_2024-11-07-military-and-security-dimensions-quantum-technologies-primer.json</t>
  </si>
  <si>
    <t>F3_Dinamicas_Territoriales/SIPRI/articulos</t>
  </si>
  <si>
    <t>SIPRI_20240212113627.pdf</t>
  </si>
  <si>
    <t>SIPRI_2025-05-13-lasting-solutions-fragility-depend-peacebuilding.json</t>
  </si>
  <si>
    <t>SIPRI_2025-06-24-export-controls-and-spyware-enhancing-oversight-transparency-and-restraint.json</t>
  </si>
  <si>
    <t>SIPRI_2025-06-27-calibrating-deterrence-disruptors-strategic-stability-natos-new-northern-flank.json</t>
  </si>
  <si>
    <t>SIPRI_2025-08-18-xcept-note-de-synthese-limpact-du-conflit-et-du-deplacement-sur-les-femmes-soud.pdf</t>
  </si>
  <si>
    <t>SIPRI_2025-10-02-decade-youth-peace-and-security-fostering-intergenerational-action-climate-peac.json</t>
  </si>
  <si>
    <t>SIPRI_2025-11-19-xcept-policy-brief-sudanese-refugee-women-in-eastern-chad.pdf</t>
  </si>
  <si>
    <t>SIPRI_2025-12-01-sipri-top-100-arms-producing-and-military-services-companies-2024.json</t>
  </si>
  <si>
    <t>SIPRI_2025-12-01-use-cases-emerging-technologies-strengthen-export-controls-biological-items.json</t>
  </si>
  <si>
    <t>SIPRI_2025-12-01-use-cases-emerging-technologies-strengthen-high-containment-laboratory-governan.json</t>
  </si>
  <si>
    <t>SIPRI_2025-addressing-risks-civilian-ai-poses-international-peace-and-security-role-responsible-.json</t>
  </si>
  <si>
    <t>SIPRI_2025-autonomous-weapon-systems-and-ai-enabled-decision-support-systems-military-targeting-.json</t>
  </si>
  <si>
    <t>SIPRI_2025-bias-military-artificial-intelligence-and-compliance-international-humanitarian-law.json</t>
  </si>
  <si>
    <t>SIPRI_2025-climate-change-human-mobility-and-security.json</t>
  </si>
  <si>
    <t>SIPRI_2025-climate-peace-and-security-fact-sheet-abyei-2025.json</t>
  </si>
  <si>
    <t>SIPRI_2025-climate-peace-and-security-fact-sheet-haiti-2025.json</t>
  </si>
  <si>
    <t>SIPRI_2025-climate-peace-and-security-thematic-fact-sheet-women-peace-and-security.json</t>
  </si>
  <si>
    <t>SIPRI_2025-climate-resilient-investment-fragile-and-conflict-affected-situations-opportunities-b.json</t>
  </si>
  <si>
    <t>SIPRI_2025-impact-conflict-and-displacement-sudanese-refugee-women-eastern-chad.json</t>
  </si>
  <si>
    <t>SIPRI_2025-map-practices-autopractices.json</t>
  </si>
  <si>
    <t>SIPRI_2025-militarization-technology-preventing-diversion-and-misuse-through-export-controls.json</t>
  </si>
  <si>
    <t>SIPRI_2025-navigating-green-geopolitics-perils-and-promise-energy-transition-and-case-ukraine.json</t>
  </si>
  <si>
    <t>SIPRI_2025-pragmatic-approaches-governance-artificial-intelligence-nuclear-nexus.json</t>
  </si>
  <si>
    <t>SIPRI_2025-pursuing-peace-shoestring-conflict-management-increasingly-complex-world.json</t>
  </si>
  <si>
    <t>SIPRI_2025-rebalancing-military-spending-towards-achieving-sustainable-development.json</t>
  </si>
  <si>
    <t>SIPRI_2025-silos-synergies-partnering-social-cohesion-sahel.json</t>
  </si>
  <si>
    <t>SIPRI_2025-strengthening-osces-climate-security-agenda.json</t>
  </si>
  <si>
    <t>SIPRI_2025-support-age-relapse-assisting-security-justice-and-inclusive-governance-restrictive-e.json</t>
  </si>
  <si>
    <t>SIPRI_2025-towards-multilateral-policy-autonomous-weapon-systems.json</t>
  </si>
  <si>
    <t>SIPRI_2025-women-multilateral-peace-operations-2025-what-state-play.json</t>
  </si>
  <si>
    <t>SIPRI_2025giz-en-lasting-solutions-fragility-peacebuilding.pdf</t>
  </si>
  <si>
    <t>SIPRI_2026-01-russias-military-budget-for-2026.pdf</t>
  </si>
  <si>
    <t>SIPRI_2026-03-09-trends-international-arms-transfers-2025.json</t>
  </si>
  <si>
    <t>SIPRI_2026-03-18-military-assistance-provided-eu-and-other-external-actors-eus-eastern-neighbour.json</t>
  </si>
  <si>
    <t>SIPRI_2026-03-18-military-assistance-provided-eu-and-other-external-actors-eus-southern-neighbou.json</t>
  </si>
  <si>
    <t>SIPRI_2026-03-18-military-assistance-provided-eu-and-other-external-actors-west-africa-2010-25.json</t>
  </si>
  <si>
    <t>SIPRI_2026-04-27-trends-world-military-expenditure-2025.json</t>
  </si>
  <si>
    <t>SIPRI_2026-05-25-developments-and-trends-multilateral-peace-operations-2025.json</t>
  </si>
  <si>
    <t>SIPRI_2026-addressing-multidomain-nuclear-escalation-risk.json</t>
  </si>
  <si>
    <t>SIPRI_2026-ai-chinese-indian-and-us-nuclear-postures-norms-and-systems.json</t>
  </si>
  <si>
    <t>SIPRI_2026-aid-cuts-and-security-risks-health-system-disruption-human-insecurity.json</t>
  </si>
  <si>
    <t>SIPRI_2026-budget-fifth-year-war-military-spending-russias-budget-2026.json</t>
  </si>
  <si>
    <t>SIPRI_2026-building-effective-infrastructure-peace-syria-and-lebanon.json</t>
  </si>
  <si>
    <t>SIPRI_2026-china-and-changing-international-development-landscape.json</t>
  </si>
  <si>
    <t>SIPRI_2026-climate-peace-and-security-fact-sheet-afghanistan-2026.json</t>
  </si>
  <si>
    <t>SIPRI_2026-climate-peace-and-security-fact-sheet-lake-chad-2026.json</t>
  </si>
  <si>
    <t>SIPRI_2026-cyber-disarmament-practice-eus-role-governing-software-vulnerabilities-fragmented-int.json</t>
  </si>
  <si>
    <t>SIPRI_2026-end-mission-reinventing-closure-and-transition-processes-eu-civilian-csdp.json</t>
  </si>
  <si>
    <t>SIPRI_2026-future-proofing-civilian-csdp-challenging-strategic-environment-seven-questions-debat.json</t>
  </si>
  <si>
    <t>SIPRI_2026-gendered-dimensions-climate-related-security-risks-osce-area.json</t>
  </si>
  <si>
    <t>SIPRI_2026-good-practice-guide-applying-export-controls-transfers-commercial-cyber-intrusion-cap.json</t>
  </si>
  <si>
    <t>SIPRI_2026-preventing-biological-weapons-proliferation-operational-applications-emerging-technol.json</t>
  </si>
  <si>
    <t>SIPRI_2026-responsible-procurement-military-artificial-intelligence.json</t>
  </si>
  <si>
    <t>SIPRI_2026-security-sector-reform-and-united-nations-transitions-factors-success.json</t>
  </si>
  <si>
    <t>SIPRI_2026-seeking-stability-outer-space-opportunities-china-uk-dialogue.json</t>
  </si>
  <si>
    <t>SIPRI_2026-twenty-five-years-men-boys-and-masculinities-wps-agenda.json</t>
  </si>
  <si>
    <t>SIPRI_21.11.2025-pb-arabic.pdf</t>
  </si>
  <si>
    <t>SIPRI_22136.pdf</t>
  </si>
  <si>
    <t>SIPRI_2509-towards-multilateral-policy-on-aws-1.pdf</t>
  </si>
  <si>
    <t>SIPRI_2602-ai-integration.pdf</t>
  </si>
  <si>
    <t>SIPRI_2604-milex-2025.pdf</t>
  </si>
  <si>
    <t>SIPRI_33.impaginato-lorenzo-scarazzato-noah-heinemann-why-the-eu-fiscal-reform-is-not-solving-na.pdf</t>
  </si>
  <si>
    <t>SIPRI_9781954445024.pdf</t>
  </si>
  <si>
    <t>SIPRI_ar-34.pdf</t>
  </si>
  <si>
    <t>SIPRI_att-monitor-report-2025.pdf</t>
  </si>
  <si>
    <t>SIPRI_autopractices-map-web.pdf</t>
  </si>
  <si>
    <t>SIPRI_catalog-2.json</t>
  </si>
  <si>
    <t>F3_Dinamicas_Territoriales/SIPRI/sipri_data</t>
  </si>
  <si>
    <t>SIPRI_centerfold-east-a3.pdf</t>
  </si>
  <si>
    <t>SIPRI_centerfold-south-a3.pdf</t>
  </si>
  <si>
    <t>SIPRI_centerfold-west-africa-a3.pdf</t>
  </si>
  <si>
    <t>SIPRI_cmc-finland-working-papers-series-1-web-saavutettava.pdf</t>
  </si>
  <si>
    <t>SIPRI_db26ed4d9b959cb6798443f80d4d4474.pdf</t>
  </si>
  <si>
    <t>SIPRI_djokic-ignjatijevic-2020-why-are-people-leaving-the-serbian-defence-system.pdf</t>
  </si>
  <si>
    <t>SIPRI_end-of-mission-ville-savoranta.pdf</t>
  </si>
  <si>
    <t>SIPRI_eunpdc-no-100-cyber-disarmament.pdf</t>
  </si>
  <si>
    <t>SIPRI_files2fthe-fourth-phase-in-the-taiwan-strait-military-standoff-emerging-dynamics-and-the-p.pdf</t>
  </si>
  <si>
    <t>SIPRI_from-silos-to-synergies-partnering-for-social-cohesion-in-the-sahel-1.pdf</t>
  </si>
  <si>
    <t>SIPRI_fs-2512-top-100-2024.pdf</t>
  </si>
  <si>
    <t>F3_Dinamicas_Territoriales/SIPRI/pdfs_full/2024</t>
  </si>
  <si>
    <t>SIPRI_fs-2603-at-2025.pdf</t>
  </si>
  <si>
    <t>SIPRI_fs-2605-mpo-2026.pdf</t>
  </si>
  <si>
    <t>SIPRI_gcf-annual-report-2023-through-collective-action.pdf</t>
  </si>
  <si>
    <t>SIPRI_gendered-dimensions-of-climate-related-security-risks.pdf</t>
  </si>
  <si>
    <t>SIPRI_gpg-2026-ccic.pdf</t>
  </si>
  <si>
    <t>SIPRI_hsrc20lmip20report20320growth20employment20and20skills-1.pdf</t>
  </si>
  <si>
    <t>SIPRI_ko-laws-v.pdf</t>
  </si>
  <si>
    <t>SIPRI_laws-v-0.pdf</t>
  </si>
  <si>
    <t>SIPRI_military-assistance-east-0.pdf</t>
  </si>
  <si>
    <t>SIPRI_military-assistance-south.pdf</t>
  </si>
  <si>
    <t>SIPRI_military-assistance-west-africa.pdf</t>
  </si>
  <si>
    <t>SIPRI_nupi-fact-sheet-abyei.pdf</t>
  </si>
  <si>
    <t>SIPRI_nupi-fact-sheet-afghanistan.pdf</t>
  </si>
  <si>
    <t>SIPRI_nupi-fact-sheet-lake-chad.pdf</t>
  </si>
  <si>
    <t>SIPRI_pb-2509-osce-climate-security.pdf</t>
  </si>
  <si>
    <t>SIPRI_pb-2511-climate-change-human-mobility-and-security.pdf</t>
  </si>
  <si>
    <t>SIPRI_pb-2601-china-and-the-changing-international-dev-landscape.pdf</t>
  </si>
  <si>
    <t>SIPRI_pragmatic-approaches-to-governance-at-the-ai-nuclear-nexus.pdf</t>
  </si>
  <si>
    <t>SIPRI_publicaciones-2.csv</t>
  </si>
  <si>
    <t>SIPRI_report-international-arms-flows.pdf</t>
  </si>
  <si>
    <t>SIPRI_rpp-2025-10-ngcm-dakar.pdf</t>
  </si>
  <si>
    <t>SIPRI_rpp-2025-11-milex-sdgs-3.pdf</t>
  </si>
  <si>
    <t>SIPRI_rpp-2025-11-miltech.pdf</t>
  </si>
  <si>
    <t>SIPRI_rpp-2025-12-restrictive-environments-0.pdf</t>
  </si>
  <si>
    <t>SIPRI_rpp-2025-12-use-cases-for-emerging-tech-to-strengthen-high-containment-lab-governance-0.pdf</t>
  </si>
  <si>
    <t>SIPRI_rpp-2026-01-future-proofing-civilian-csdp.pdf</t>
  </si>
  <si>
    <t>SIPRI_rpp-2026-01-multidomain-escalation-risks-1.pdf</t>
  </si>
  <si>
    <t>SIPRI_rpp-2026-03-25-years-of-men.pdf</t>
  </si>
  <si>
    <t>SIPRI_rpp-2026-06-aid-cuts-and-security-risks.pdf</t>
  </si>
  <si>
    <t>SIPRI_rpp-florian-katongo.pdf</t>
  </si>
  <si>
    <t>SIPRI_rpp-use-cases-emerging-tech-bio-items-0.pdf</t>
  </si>
  <si>
    <t>SIPRI_stockholm-forum-session-a-decade-of-youth-peace-and-security-fostering-intergenerational-a.pdf</t>
  </si>
  <si>
    <t>SIPRI_sustainablefinanceoutlook-20250612.pdf</t>
  </si>
  <si>
    <t>SIPRI_women-in-multilateral-peace-operations-in-2025-what-is-the-state-of-play.pdf</t>
  </si>
  <si>
    <t>SIPRI_wps-sipri-nupi-fact-sheet.pdf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</si>
</sst>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A9D18E"/>
        <bgColor rgb="FFBFBFBF"/>
      </patternFill>
    </fill>
    <fill>
      <patternFill patternType="solid">
        <fgColor rgb="FFF4B183"/>
        <bgColor rgb="FFFF99CC"/>
      </patternFill>
    </fill>
    <fill>
      <patternFill patternType="solid">
        <fgColor rgb="FFD9D9D9"/>
        <b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3" fillId="6" borderId="1" xfId="0" applyFont="1" applyFill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9D18E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1D58E2-175D-B64C-AFA9-4C559E530718}">
  <we:reference id="wa200010725" version="1.0.0.1" store="es-MX" storeType="OMEX"/>
  <we:alternateReferences>
    <we:reference id="WA200010725" version="1.0.0.1" store="WA200010725" storeType="OMEX"/>
  </we:alternateReferences>
  <we:properties>
    <we:property name="claude.fileId" value="&quot;a9c2f4af-7054-4481-86fd-29ad00768da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ColWidth="8.42578125" defaultRowHeight="15"/>
  <cols>
    <col min="1" max="1" width="34" customWidth="1"/>
    <col min="2" max="2" width="22" customWidth="1"/>
    <col min="3" max="3" width="12" customWidth="1"/>
    <col min="4" max="10" width="8" customWidth="1"/>
    <col min="11" max="11" width="11" customWidth="1"/>
    <col min="12" max="13" width="8" customWidth="1"/>
    <col min="14" max="14" width="12" customWidth="1"/>
  </cols>
  <sheetData>
    <row r="1" spans="1:11" ht="27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44</v>
      </c>
      <c r="E2" s="3">
        <v>0</v>
      </c>
      <c r="F2" s="3">
        <v>17</v>
      </c>
      <c r="G2" s="3">
        <v>4</v>
      </c>
      <c r="H2" s="3">
        <v>0</v>
      </c>
      <c r="I2" s="3">
        <v>0</v>
      </c>
      <c r="J2" s="3">
        <v>0</v>
      </c>
      <c r="K2" s="3">
        <f t="shared" ref="K2:K22" si="0">SUM(D2:J2)</f>
        <v>65</v>
      </c>
    </row>
    <row r="3" spans="1:11">
      <c r="A3" s="2" t="s">
        <v>11</v>
      </c>
      <c r="B3" s="2" t="s">
        <v>14</v>
      </c>
      <c r="C3" s="2" t="s">
        <v>15</v>
      </c>
      <c r="D3" s="3">
        <v>0</v>
      </c>
      <c r="E3" s="3">
        <v>186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f t="shared" si="0"/>
        <v>186</v>
      </c>
    </row>
    <row r="4" spans="1:11">
      <c r="A4" s="2" t="s">
        <v>11</v>
      </c>
      <c r="B4" s="2" t="s">
        <v>16</v>
      </c>
      <c r="C4" s="2" t="s">
        <v>16</v>
      </c>
      <c r="D4" s="3">
        <v>12</v>
      </c>
      <c r="E4" s="3">
        <v>15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f t="shared" si="0"/>
        <v>27</v>
      </c>
    </row>
    <row r="5" spans="1:11">
      <c r="A5" s="2" t="s">
        <v>11</v>
      </c>
      <c r="B5" s="2" t="s">
        <v>17</v>
      </c>
      <c r="C5" s="2" t="s">
        <v>18</v>
      </c>
      <c r="D5" s="3">
        <v>127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f t="shared" si="0"/>
        <v>127</v>
      </c>
    </row>
    <row r="6" spans="1:11">
      <c r="A6" s="2" t="s">
        <v>11</v>
      </c>
      <c r="B6" s="2" t="s">
        <v>19</v>
      </c>
      <c r="C6" s="2" t="s">
        <v>19</v>
      </c>
      <c r="D6" s="3">
        <v>33</v>
      </c>
      <c r="E6" s="3">
        <v>1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f t="shared" si="0"/>
        <v>35</v>
      </c>
    </row>
    <row r="7" spans="1:11">
      <c r="A7" s="2" t="s">
        <v>11</v>
      </c>
      <c r="B7" s="2" t="s">
        <v>20</v>
      </c>
      <c r="C7" s="2" t="s">
        <v>21</v>
      </c>
      <c r="D7" s="3">
        <v>0</v>
      </c>
      <c r="E7" s="3">
        <v>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f t="shared" si="0"/>
        <v>2</v>
      </c>
    </row>
    <row r="8" spans="1:11">
      <c r="A8" s="2" t="s">
        <v>11</v>
      </c>
      <c r="B8" s="2" t="s">
        <v>22</v>
      </c>
      <c r="C8" s="2" t="s">
        <v>23</v>
      </c>
      <c r="D8" s="3">
        <v>10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f t="shared" si="0"/>
        <v>10</v>
      </c>
    </row>
    <row r="9" spans="1:11">
      <c r="A9" s="2" t="s">
        <v>11</v>
      </c>
      <c r="B9" s="2" t="s">
        <v>24</v>
      </c>
      <c r="C9" s="2" t="s">
        <v>25</v>
      </c>
      <c r="D9" s="3">
        <v>5</v>
      </c>
      <c r="E9" s="3">
        <v>1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f t="shared" si="0"/>
        <v>7</v>
      </c>
    </row>
    <row r="10" spans="1:11">
      <c r="A10" s="4" t="s">
        <v>26</v>
      </c>
      <c r="B10" s="4" t="s">
        <v>27</v>
      </c>
      <c r="C10" s="4" t="s">
        <v>28</v>
      </c>
      <c r="D10" s="3">
        <v>110</v>
      </c>
      <c r="E10" s="3">
        <v>103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f t="shared" si="0"/>
        <v>214</v>
      </c>
    </row>
    <row r="11" spans="1:11">
      <c r="A11" s="4" t="s">
        <v>26</v>
      </c>
      <c r="B11" s="4" t="s">
        <v>29</v>
      </c>
      <c r="C11" s="4" t="s">
        <v>30</v>
      </c>
      <c r="D11" s="3">
        <v>24</v>
      </c>
      <c r="E11" s="3">
        <v>16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f t="shared" si="0"/>
        <v>40</v>
      </c>
    </row>
    <row r="12" spans="1:11">
      <c r="A12" s="4" t="s">
        <v>26</v>
      </c>
      <c r="B12" s="4" t="s">
        <v>31</v>
      </c>
      <c r="C12" s="4" t="s">
        <v>31</v>
      </c>
      <c r="D12" s="3">
        <v>4</v>
      </c>
      <c r="E12" s="3">
        <v>55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f t="shared" si="0"/>
        <v>59</v>
      </c>
    </row>
    <row r="13" spans="1:11">
      <c r="A13" s="4" t="s">
        <v>26</v>
      </c>
      <c r="B13" s="4" t="s">
        <v>32</v>
      </c>
      <c r="C13" s="4" t="s">
        <v>33</v>
      </c>
      <c r="D13" s="3">
        <v>68</v>
      </c>
      <c r="E13" s="3">
        <v>56</v>
      </c>
      <c r="F13" s="3">
        <v>1</v>
      </c>
      <c r="G13" s="3">
        <v>0</v>
      </c>
      <c r="H13" s="3">
        <v>8</v>
      </c>
      <c r="I13" s="3">
        <v>1</v>
      </c>
      <c r="J13" s="3">
        <v>1</v>
      </c>
      <c r="K13" s="3">
        <f t="shared" si="0"/>
        <v>135</v>
      </c>
    </row>
    <row r="14" spans="1:11">
      <c r="A14" s="4" t="s">
        <v>26</v>
      </c>
      <c r="B14" s="4" t="s">
        <v>34</v>
      </c>
      <c r="C14" s="4" t="s">
        <v>34</v>
      </c>
      <c r="D14" s="3">
        <v>31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f t="shared" si="0"/>
        <v>31</v>
      </c>
    </row>
    <row r="15" spans="1:11">
      <c r="A15" s="5" t="s">
        <v>35</v>
      </c>
      <c r="B15" s="5" t="s">
        <v>36</v>
      </c>
      <c r="C15" s="5" t="s">
        <v>37</v>
      </c>
      <c r="D15" s="3">
        <v>62</v>
      </c>
      <c r="E15" s="3">
        <v>363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f t="shared" si="0"/>
        <v>425</v>
      </c>
    </row>
    <row r="16" spans="1:11">
      <c r="A16" s="5" t="s">
        <v>35</v>
      </c>
      <c r="B16" s="5" t="s">
        <v>38</v>
      </c>
      <c r="C16" s="5" t="s">
        <v>39</v>
      </c>
      <c r="D16" s="3">
        <v>0</v>
      </c>
      <c r="E16" s="3">
        <v>1</v>
      </c>
      <c r="F16" s="3">
        <v>1</v>
      </c>
      <c r="G16" s="3">
        <v>0</v>
      </c>
      <c r="H16" s="3">
        <v>0</v>
      </c>
      <c r="I16" s="3">
        <v>0</v>
      </c>
      <c r="J16" s="3">
        <v>73</v>
      </c>
      <c r="K16" s="3">
        <f t="shared" si="0"/>
        <v>75</v>
      </c>
    </row>
    <row r="17" spans="1:11">
      <c r="A17" s="5" t="s">
        <v>35</v>
      </c>
      <c r="B17" s="5" t="s">
        <v>40</v>
      </c>
      <c r="C17" s="5" t="s">
        <v>40</v>
      </c>
      <c r="D17" s="3">
        <v>0</v>
      </c>
      <c r="E17" s="3">
        <v>80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f t="shared" si="0"/>
        <v>80</v>
      </c>
    </row>
    <row r="18" spans="1:11">
      <c r="A18" s="5" t="s">
        <v>35</v>
      </c>
      <c r="B18" s="5" t="s">
        <v>41</v>
      </c>
      <c r="C18" s="5" t="s">
        <v>41</v>
      </c>
      <c r="D18" s="3">
        <v>17</v>
      </c>
      <c r="E18" s="3">
        <v>20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f t="shared" si="0"/>
        <v>38</v>
      </c>
    </row>
    <row r="19" spans="1:11">
      <c r="A19" s="5" t="s">
        <v>35</v>
      </c>
      <c r="B19" s="5" t="s">
        <v>42</v>
      </c>
      <c r="C19" s="5" t="s">
        <v>43</v>
      </c>
      <c r="D19" s="3">
        <v>33</v>
      </c>
      <c r="E19" s="3">
        <v>1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f t="shared" si="0"/>
        <v>35</v>
      </c>
    </row>
    <row r="20" spans="1:11">
      <c r="A20" s="5" t="s">
        <v>35</v>
      </c>
      <c r="B20" s="5" t="s">
        <v>44</v>
      </c>
      <c r="C20" s="5" t="s">
        <v>44</v>
      </c>
      <c r="D20" s="3">
        <v>105</v>
      </c>
      <c r="E20" s="3">
        <v>1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f t="shared" si="0"/>
        <v>107</v>
      </c>
    </row>
    <row r="21" spans="1:11">
      <c r="A21" s="5" t="s">
        <v>35</v>
      </c>
      <c r="B21" s="5" t="s">
        <v>45</v>
      </c>
      <c r="C21" s="5" t="s">
        <v>45</v>
      </c>
      <c r="D21" s="3">
        <v>74</v>
      </c>
      <c r="E21" s="3">
        <v>53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f t="shared" si="0"/>
        <v>128</v>
      </c>
    </row>
    <row r="22" spans="1:11">
      <c r="A22" s="5" t="s">
        <v>35</v>
      </c>
      <c r="B22" s="5" t="s">
        <v>46</v>
      </c>
      <c r="C22" s="5" t="s">
        <v>47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f t="shared" si="0"/>
        <v>0</v>
      </c>
    </row>
    <row r="23" spans="1:11">
      <c r="A23" s="6" t="s">
        <v>48</v>
      </c>
      <c r="B23" s="6"/>
      <c r="C23" s="6"/>
      <c r="D23" s="6">
        <f t="shared" ref="D23:K23" si="1">SUM(D2:D22)</f>
        <v>759</v>
      </c>
      <c r="E23" s="6">
        <f t="shared" si="1"/>
        <v>954</v>
      </c>
      <c r="F23" s="6">
        <f t="shared" si="1"/>
        <v>26</v>
      </c>
      <c r="G23" s="6">
        <f t="shared" si="1"/>
        <v>4</v>
      </c>
      <c r="H23" s="6">
        <f t="shared" si="1"/>
        <v>8</v>
      </c>
      <c r="I23" s="6">
        <f t="shared" si="1"/>
        <v>1</v>
      </c>
      <c r="J23" s="6">
        <f t="shared" si="1"/>
        <v>74</v>
      </c>
      <c r="K23" s="6">
        <f t="shared" si="1"/>
        <v>1826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selection activeCell="F10" sqref="F10"/>
    </sheetView>
  </sheetViews>
  <sheetFormatPr defaultColWidth="8.42578125" defaultRowHeight="15"/>
  <cols>
    <col min="1" max="1" width="36" customWidth="1"/>
    <col min="2" max="2" width="14" customWidth="1"/>
    <col min="3" max="3" width="12" customWidth="1"/>
    <col min="4" max="5" width="10" customWidth="1"/>
    <col min="6" max="6" width="12" customWidth="1"/>
  </cols>
  <sheetData>
    <row r="1" spans="1:5">
      <c r="A1" s="1" t="s">
        <v>0</v>
      </c>
      <c r="B1" s="1" t="s">
        <v>49</v>
      </c>
      <c r="C1" s="1" t="s">
        <v>10</v>
      </c>
      <c r="D1" s="1" t="s">
        <v>50</v>
      </c>
      <c r="E1" s="1" t="s">
        <v>51</v>
      </c>
    </row>
    <row r="2" spans="1:5">
      <c r="A2" s="2" t="s">
        <v>11</v>
      </c>
      <c r="B2" s="3">
        <v>8</v>
      </c>
      <c r="C2" s="3">
        <v>459</v>
      </c>
      <c r="D2" s="3">
        <v>231</v>
      </c>
      <c r="E2" s="3">
        <v>205</v>
      </c>
    </row>
    <row r="3" spans="1:5">
      <c r="A3" s="4" t="s">
        <v>26</v>
      </c>
      <c r="B3" s="3">
        <v>5</v>
      </c>
      <c r="C3" s="3">
        <v>479</v>
      </c>
      <c r="D3" s="3">
        <v>237</v>
      </c>
      <c r="E3" s="3">
        <v>230</v>
      </c>
    </row>
    <row r="4" spans="1:5">
      <c r="A4" s="5" t="s">
        <v>35</v>
      </c>
      <c r="B4" s="3">
        <v>8</v>
      </c>
      <c r="C4" s="3">
        <v>888</v>
      </c>
      <c r="D4" s="3">
        <v>291</v>
      </c>
      <c r="E4" s="3">
        <v>519</v>
      </c>
    </row>
    <row r="5" spans="1:5">
      <c r="A5" s="6" t="s">
        <v>48</v>
      </c>
      <c r="B5" s="6">
        <f>SUM(B2:B4)</f>
        <v>21</v>
      </c>
      <c r="C5" s="6">
        <f>SUM(C2:C4)</f>
        <v>1826</v>
      </c>
      <c r="D5" s="6">
        <f>SUM(D2:D4)</f>
        <v>759</v>
      </c>
      <c r="E5" s="6">
        <f>SUM(E2:E4)</f>
        <v>954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27"/>
  <sheetViews>
    <sheetView zoomScaleNormal="100" workbookViewId="0">
      <pane ySplit="1" topLeftCell="A2" activePane="bottomLeft" state="frozen"/>
      <selection pane="bottomLeft" activeCell="D1" sqref="D1:D1048576"/>
    </sheetView>
  </sheetViews>
  <sheetFormatPr defaultColWidth="8.42578125" defaultRowHeight="15"/>
  <cols>
    <col min="1" max="1" width="10.28515625" bestFit="1" customWidth="1"/>
    <col min="2" max="2" width="20" customWidth="1"/>
    <col min="3" max="3" width="22.140625" bestFit="1" customWidth="1"/>
    <col min="4" max="4" width="20" customWidth="1"/>
    <col min="5" max="5" width="65" customWidth="1"/>
    <col min="6" max="6" width="65.140625" customWidth="1"/>
    <col min="7" max="7" width="9" customWidth="1"/>
  </cols>
  <sheetData>
    <row r="1" spans="1:7" ht="27.95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s="7" t="s">
        <v>57</v>
      </c>
      <c r="B2" s="7" t="s">
        <v>12</v>
      </c>
      <c r="C2" s="7" t="str">
        <f>VLOOKUP(B2,Indice!$B$1:$C$22,2,0)</f>
        <v>AIINDEX</v>
      </c>
      <c r="D2" s="7" t="str">
        <f>$A2&amp;"-"&amp;$C2&amp;"-"&amp;TEXT(COUNTIFS($A$2:$A2,$A2,$C$2:$C2,$C2),"000")</f>
        <v>F1-AIINDEX-001</v>
      </c>
      <c r="E2" s="7" t="s">
        <v>58</v>
      </c>
      <c r="F2" s="7" t="s">
        <v>59</v>
      </c>
      <c r="G2" s="7" t="s">
        <v>3</v>
      </c>
    </row>
    <row r="3" spans="1:7">
      <c r="A3" s="7" t="s">
        <v>57</v>
      </c>
      <c r="B3" s="7" t="s">
        <v>12</v>
      </c>
      <c r="C3" s="7" t="str">
        <f>VLOOKUP(B3,Indice!$B$1:$C$22,2,0)</f>
        <v>AIINDEX</v>
      </c>
      <c r="D3" s="7" t="str">
        <f>$A3&amp;"-"&amp;$C3&amp;"-"&amp;TEXT(COUNTIFS($A$2:$A3,$A3,$C$2:$C3,$C3),"000")</f>
        <v>F1-AIINDEX-002</v>
      </c>
      <c r="E3" s="7" t="s">
        <v>60</v>
      </c>
      <c r="F3" s="7" t="s">
        <v>59</v>
      </c>
      <c r="G3" s="7" t="s">
        <v>3</v>
      </c>
    </row>
    <row r="4" spans="1:7">
      <c r="A4" s="7" t="s">
        <v>57</v>
      </c>
      <c r="B4" s="7" t="s">
        <v>12</v>
      </c>
      <c r="C4" s="7" t="str">
        <f>VLOOKUP(B4,Indice!$B$1:$C$22,2,0)</f>
        <v>AIINDEX</v>
      </c>
      <c r="D4" s="7" t="str">
        <f>$A4&amp;"-"&amp;$C4&amp;"-"&amp;TEXT(COUNTIFS($A$2:$A4,$A4,$C$2:$C4,$C4),"000")</f>
        <v>F1-AIINDEX-003</v>
      </c>
      <c r="E4" s="7" t="s">
        <v>61</v>
      </c>
      <c r="F4" s="7" t="s">
        <v>59</v>
      </c>
      <c r="G4" s="7" t="s">
        <v>3</v>
      </c>
    </row>
    <row r="5" spans="1:7">
      <c r="A5" s="7" t="s">
        <v>57</v>
      </c>
      <c r="B5" s="7" t="s">
        <v>12</v>
      </c>
      <c r="C5" s="7" t="str">
        <f>VLOOKUP(B5,Indice!$B$1:$C$22,2,0)</f>
        <v>AIINDEX</v>
      </c>
      <c r="D5" s="7" t="str">
        <f>$A5&amp;"-"&amp;$C5&amp;"-"&amp;TEXT(COUNTIFS($A$2:$A5,$A5,$C$2:$C5,$C5),"000")</f>
        <v>F1-AIINDEX-004</v>
      </c>
      <c r="E5" s="7" t="s">
        <v>62</v>
      </c>
      <c r="F5" s="7" t="s">
        <v>59</v>
      </c>
      <c r="G5" s="7" t="s">
        <v>3</v>
      </c>
    </row>
    <row r="6" spans="1:7">
      <c r="A6" s="7" t="s">
        <v>57</v>
      </c>
      <c r="B6" s="7" t="s">
        <v>12</v>
      </c>
      <c r="C6" s="7" t="str">
        <f>VLOOKUP(B6,Indice!$B$1:$C$22,2,0)</f>
        <v>AIINDEX</v>
      </c>
      <c r="D6" s="7" t="str">
        <f>$A6&amp;"-"&amp;$C6&amp;"-"&amp;TEXT(COUNTIFS($A$2:$A6,$A6,$C$2:$C6,$C6),"000")</f>
        <v>F1-AIINDEX-005</v>
      </c>
      <c r="E6" s="7" t="s">
        <v>63</v>
      </c>
      <c r="F6" s="7" t="s">
        <v>59</v>
      </c>
      <c r="G6" s="7" t="s">
        <v>3</v>
      </c>
    </row>
    <row r="7" spans="1:7">
      <c r="A7" s="7" t="s">
        <v>57</v>
      </c>
      <c r="B7" s="7" t="s">
        <v>12</v>
      </c>
      <c r="C7" s="7" t="str">
        <f>VLOOKUP(B7,Indice!$B$1:$C$22,2,0)</f>
        <v>AIINDEX</v>
      </c>
      <c r="D7" s="7" t="str">
        <f>$A7&amp;"-"&amp;$C7&amp;"-"&amp;TEXT(COUNTIFS($A$2:$A7,$A7,$C$2:$C7,$C7),"000")</f>
        <v>F1-AIINDEX-006</v>
      </c>
      <c r="E7" s="7" t="s">
        <v>64</v>
      </c>
      <c r="F7" s="7" t="s">
        <v>59</v>
      </c>
      <c r="G7" s="7" t="s">
        <v>3</v>
      </c>
    </row>
    <row r="8" spans="1:7">
      <c r="A8" s="7" t="s">
        <v>57</v>
      </c>
      <c r="B8" s="7" t="s">
        <v>12</v>
      </c>
      <c r="C8" s="7" t="str">
        <f>VLOOKUP(B8,Indice!$B$1:$C$22,2,0)</f>
        <v>AIINDEX</v>
      </c>
      <c r="D8" s="7" t="str">
        <f>$A8&amp;"-"&amp;$C8&amp;"-"&amp;TEXT(COUNTIFS($A$2:$A8,$A8,$C$2:$C8,$C8),"000")</f>
        <v>F1-AIINDEX-007</v>
      </c>
      <c r="E8" s="7" t="s">
        <v>65</v>
      </c>
      <c r="F8" s="7" t="s">
        <v>59</v>
      </c>
      <c r="G8" s="7" t="s">
        <v>3</v>
      </c>
    </row>
    <row r="9" spans="1:7">
      <c r="A9" s="7" t="s">
        <v>57</v>
      </c>
      <c r="B9" s="7" t="s">
        <v>12</v>
      </c>
      <c r="C9" s="7" t="str">
        <f>VLOOKUP(B9,Indice!$B$1:$C$22,2,0)</f>
        <v>AIINDEX</v>
      </c>
      <c r="D9" s="7" t="str">
        <f>$A9&amp;"-"&amp;$C9&amp;"-"&amp;TEXT(COUNTIFS($A$2:$A9,$A9,$C$2:$C9,$C9),"000")</f>
        <v>F1-AIINDEX-008</v>
      </c>
      <c r="E9" s="7" t="s">
        <v>66</v>
      </c>
      <c r="F9" s="7" t="s">
        <v>59</v>
      </c>
      <c r="G9" s="7" t="s">
        <v>3</v>
      </c>
    </row>
    <row r="10" spans="1:7">
      <c r="A10" s="7" t="s">
        <v>57</v>
      </c>
      <c r="B10" s="7" t="s">
        <v>12</v>
      </c>
      <c r="C10" s="7" t="str">
        <f>VLOOKUP(B10,Indice!$B$1:$C$22,2,0)</f>
        <v>AIINDEX</v>
      </c>
      <c r="D10" s="7" t="str">
        <f>$A10&amp;"-"&amp;$C10&amp;"-"&amp;TEXT(COUNTIFS($A$2:$A10,$A10,$C$2:$C10,$C10),"000")</f>
        <v>F1-AIINDEX-009</v>
      </c>
      <c r="E10" s="7" t="s">
        <v>67</v>
      </c>
      <c r="F10" s="7" t="s">
        <v>59</v>
      </c>
      <c r="G10" s="7" t="s">
        <v>3</v>
      </c>
    </row>
    <row r="11" spans="1:7">
      <c r="A11" s="7" t="s">
        <v>57</v>
      </c>
      <c r="B11" s="7" t="s">
        <v>12</v>
      </c>
      <c r="C11" s="7" t="str">
        <f>VLOOKUP(B11,Indice!$B$1:$C$22,2,0)</f>
        <v>AIINDEX</v>
      </c>
      <c r="D11" s="7" t="str">
        <f>$A11&amp;"-"&amp;$C11&amp;"-"&amp;TEXT(COUNTIFS($A$2:$A11,$A11,$C$2:$C11,$C11),"000")</f>
        <v>F1-AIINDEX-010</v>
      </c>
      <c r="E11" s="7" t="s">
        <v>68</v>
      </c>
      <c r="F11" s="7" t="s">
        <v>59</v>
      </c>
      <c r="G11" s="7" t="s">
        <v>3</v>
      </c>
    </row>
    <row r="12" spans="1:7">
      <c r="A12" s="7" t="s">
        <v>57</v>
      </c>
      <c r="B12" s="7" t="s">
        <v>12</v>
      </c>
      <c r="C12" s="7" t="str">
        <f>VLOOKUP(B12,Indice!$B$1:$C$22,2,0)</f>
        <v>AIINDEX</v>
      </c>
      <c r="D12" s="7" t="str">
        <f>$A12&amp;"-"&amp;$C12&amp;"-"&amp;TEXT(COUNTIFS($A$2:$A12,$A12,$C$2:$C12,$C12),"000")</f>
        <v>F1-AIINDEX-011</v>
      </c>
      <c r="E12" s="7" t="s">
        <v>69</v>
      </c>
      <c r="F12" s="7" t="s">
        <v>59</v>
      </c>
      <c r="G12" s="7" t="s">
        <v>3</v>
      </c>
    </row>
    <row r="13" spans="1:7">
      <c r="A13" s="7" t="s">
        <v>57</v>
      </c>
      <c r="B13" s="7" t="s">
        <v>12</v>
      </c>
      <c r="C13" s="7" t="str">
        <f>VLOOKUP(B13,Indice!$B$1:$C$22,2,0)</f>
        <v>AIINDEX</v>
      </c>
      <c r="D13" s="7" t="str">
        <f>$A13&amp;"-"&amp;$C13&amp;"-"&amp;TEXT(COUNTIFS($A$2:$A13,$A13,$C$2:$C13,$C13),"000")</f>
        <v>F1-AIINDEX-012</v>
      </c>
      <c r="E13" s="7" t="s">
        <v>70</v>
      </c>
      <c r="F13" s="7" t="s">
        <v>59</v>
      </c>
      <c r="G13" s="7" t="s">
        <v>3</v>
      </c>
    </row>
    <row r="14" spans="1:7">
      <c r="A14" s="7" t="s">
        <v>57</v>
      </c>
      <c r="B14" s="7" t="s">
        <v>12</v>
      </c>
      <c r="C14" s="7" t="str">
        <f>VLOOKUP(B14,Indice!$B$1:$C$22,2,0)</f>
        <v>AIINDEX</v>
      </c>
      <c r="D14" s="7" t="str">
        <f>$A14&amp;"-"&amp;$C14&amp;"-"&amp;TEXT(COUNTIFS($A$2:$A14,$A14,$C$2:$C14,$C14),"000")</f>
        <v>F1-AIINDEX-013</v>
      </c>
      <c r="E14" s="7" t="s">
        <v>71</v>
      </c>
      <c r="F14" s="7" t="s">
        <v>59</v>
      </c>
      <c r="G14" s="7" t="s">
        <v>3</v>
      </c>
    </row>
    <row r="15" spans="1:7">
      <c r="A15" s="7" t="s">
        <v>57</v>
      </c>
      <c r="B15" s="7" t="s">
        <v>12</v>
      </c>
      <c r="C15" s="7" t="str">
        <f>VLOOKUP(B15,Indice!$B$1:$C$22,2,0)</f>
        <v>AIINDEX</v>
      </c>
      <c r="D15" s="7" t="str">
        <f>$A15&amp;"-"&amp;$C15&amp;"-"&amp;TEXT(COUNTIFS($A$2:$A15,$A15,$C$2:$C15,$C15),"000")</f>
        <v>F1-AIINDEX-014</v>
      </c>
      <c r="E15" s="7" t="s">
        <v>72</v>
      </c>
      <c r="F15" s="7" t="s">
        <v>59</v>
      </c>
      <c r="G15" s="7" t="s">
        <v>3</v>
      </c>
    </row>
    <row r="16" spans="1:7">
      <c r="A16" s="7" t="s">
        <v>57</v>
      </c>
      <c r="B16" s="7" t="s">
        <v>12</v>
      </c>
      <c r="C16" s="7" t="str">
        <f>VLOOKUP(B16,Indice!$B$1:$C$22,2,0)</f>
        <v>AIINDEX</v>
      </c>
      <c r="D16" s="7" t="str">
        <f>$A16&amp;"-"&amp;$C16&amp;"-"&amp;TEXT(COUNTIFS($A$2:$A16,$A16,$C$2:$C16,$C16),"000")</f>
        <v>F1-AIINDEX-015</v>
      </c>
      <c r="E16" s="7" t="s">
        <v>73</v>
      </c>
      <c r="F16" s="7" t="s">
        <v>74</v>
      </c>
      <c r="G16" s="7" t="s">
        <v>3</v>
      </c>
    </row>
    <row r="17" spans="1:7">
      <c r="A17" s="7" t="s">
        <v>57</v>
      </c>
      <c r="B17" s="7" t="s">
        <v>12</v>
      </c>
      <c r="C17" s="7" t="str">
        <f>VLOOKUP(B17,Indice!$B$1:$C$22,2,0)</f>
        <v>AIINDEX</v>
      </c>
      <c r="D17" s="7" t="str">
        <f>$A17&amp;"-"&amp;$C17&amp;"-"&amp;TEXT(COUNTIFS($A$2:$A17,$A17,$C$2:$C17,$C17),"000")</f>
        <v>F1-AIINDEX-016</v>
      </c>
      <c r="E17" s="7" t="s">
        <v>75</v>
      </c>
      <c r="F17" s="7" t="s">
        <v>74</v>
      </c>
      <c r="G17" s="7" t="s">
        <v>3</v>
      </c>
    </row>
    <row r="18" spans="1:7">
      <c r="A18" s="7" t="s">
        <v>57</v>
      </c>
      <c r="B18" s="7" t="s">
        <v>12</v>
      </c>
      <c r="C18" s="7" t="str">
        <f>VLOOKUP(B18,Indice!$B$1:$C$22,2,0)</f>
        <v>AIINDEX</v>
      </c>
      <c r="D18" s="7" t="str">
        <f>$A18&amp;"-"&amp;$C18&amp;"-"&amp;TEXT(COUNTIFS($A$2:$A18,$A18,$C$2:$C18,$C18),"000")</f>
        <v>F1-AIINDEX-017</v>
      </c>
      <c r="E18" s="7" t="s">
        <v>76</v>
      </c>
      <c r="F18" s="7" t="s">
        <v>74</v>
      </c>
      <c r="G18" s="7" t="s">
        <v>3</v>
      </c>
    </row>
    <row r="19" spans="1:7">
      <c r="A19" s="7" t="s">
        <v>57</v>
      </c>
      <c r="B19" s="7" t="s">
        <v>12</v>
      </c>
      <c r="C19" s="7" t="str">
        <f>VLOOKUP(B19,Indice!$B$1:$C$22,2,0)</f>
        <v>AIINDEX</v>
      </c>
      <c r="D19" s="7" t="str">
        <f>$A19&amp;"-"&amp;$C19&amp;"-"&amp;TEXT(COUNTIFS($A$2:$A19,$A19,$C$2:$C19,$C19),"000")</f>
        <v>F1-AIINDEX-018</v>
      </c>
      <c r="E19" s="7" t="s">
        <v>77</v>
      </c>
      <c r="F19" s="7" t="s">
        <v>74</v>
      </c>
      <c r="G19" s="7" t="s">
        <v>3</v>
      </c>
    </row>
    <row r="20" spans="1:7">
      <c r="A20" s="7" t="s">
        <v>57</v>
      </c>
      <c r="B20" s="7" t="s">
        <v>12</v>
      </c>
      <c r="C20" s="7" t="str">
        <f>VLOOKUP(B20,Indice!$B$1:$C$22,2,0)</f>
        <v>AIINDEX</v>
      </c>
      <c r="D20" s="7" t="str">
        <f>$A20&amp;"-"&amp;$C20&amp;"-"&amp;TEXT(COUNTIFS($A$2:$A20,$A20,$C$2:$C20,$C20),"000")</f>
        <v>F1-AIINDEX-019</v>
      </c>
      <c r="E20" s="7" t="s">
        <v>78</v>
      </c>
      <c r="F20" s="7" t="s">
        <v>74</v>
      </c>
      <c r="G20" s="7" t="s">
        <v>3</v>
      </c>
    </row>
    <row r="21" spans="1:7">
      <c r="A21" s="7" t="s">
        <v>57</v>
      </c>
      <c r="B21" s="7" t="s">
        <v>12</v>
      </c>
      <c r="C21" s="7" t="str">
        <f>VLOOKUP(B21,Indice!$B$1:$C$22,2,0)</f>
        <v>AIINDEX</v>
      </c>
      <c r="D21" s="7" t="str">
        <f>$A21&amp;"-"&amp;$C21&amp;"-"&amp;TEXT(COUNTIFS($A$2:$A21,$A21,$C$2:$C21,$C21),"000")</f>
        <v>F1-AIINDEX-020</v>
      </c>
      <c r="E21" s="7" t="s">
        <v>79</v>
      </c>
      <c r="F21" s="7" t="s">
        <v>74</v>
      </c>
      <c r="G21" s="7" t="s">
        <v>3</v>
      </c>
    </row>
    <row r="22" spans="1:7">
      <c r="A22" s="7" t="s">
        <v>57</v>
      </c>
      <c r="B22" s="7" t="s">
        <v>12</v>
      </c>
      <c r="C22" s="7" t="str">
        <f>VLOOKUP(B22,Indice!$B$1:$C$22,2,0)</f>
        <v>AIINDEX</v>
      </c>
      <c r="D22" s="7" t="str">
        <f>$A22&amp;"-"&amp;$C22&amp;"-"&amp;TEXT(COUNTIFS($A$2:$A22,$A22,$C$2:$C22,$C22),"000")</f>
        <v>F1-AIINDEX-021</v>
      </c>
      <c r="E22" s="7" t="s">
        <v>80</v>
      </c>
      <c r="F22" s="7" t="s">
        <v>74</v>
      </c>
      <c r="G22" s="7" t="s">
        <v>3</v>
      </c>
    </row>
    <row r="23" spans="1:7">
      <c r="A23" s="7" t="s">
        <v>57</v>
      </c>
      <c r="B23" s="7" t="s">
        <v>12</v>
      </c>
      <c r="C23" s="7" t="str">
        <f>VLOOKUP(B23,Indice!$B$1:$C$22,2,0)</f>
        <v>AIINDEX</v>
      </c>
      <c r="D23" s="7" t="str">
        <f>$A23&amp;"-"&amp;$C23&amp;"-"&amp;TEXT(COUNTIFS($A$2:$A23,$A23,$C$2:$C23,$C23),"000")</f>
        <v>F1-AIINDEX-022</v>
      </c>
      <c r="E23" s="7" t="s">
        <v>81</v>
      </c>
      <c r="F23" s="7" t="s">
        <v>74</v>
      </c>
      <c r="G23" s="7" t="s">
        <v>3</v>
      </c>
    </row>
    <row r="24" spans="1:7">
      <c r="A24" s="7" t="s">
        <v>57</v>
      </c>
      <c r="B24" s="7" t="s">
        <v>12</v>
      </c>
      <c r="C24" s="7" t="str">
        <f>VLOOKUP(B24,Indice!$B$1:$C$22,2,0)</f>
        <v>AIINDEX</v>
      </c>
      <c r="D24" s="7" t="str">
        <f>$A24&amp;"-"&amp;$C24&amp;"-"&amp;TEXT(COUNTIFS($A$2:$A24,$A24,$C$2:$C24,$C24),"000")</f>
        <v>F1-AIINDEX-023</v>
      </c>
      <c r="E24" s="7" t="s">
        <v>82</v>
      </c>
      <c r="F24" s="7" t="s">
        <v>74</v>
      </c>
      <c r="G24" s="7" t="s">
        <v>3</v>
      </c>
    </row>
    <row r="25" spans="1:7">
      <c r="A25" s="7" t="s">
        <v>57</v>
      </c>
      <c r="B25" s="7" t="s">
        <v>12</v>
      </c>
      <c r="C25" s="7" t="str">
        <f>VLOOKUP(B25,Indice!$B$1:$C$22,2,0)</f>
        <v>AIINDEX</v>
      </c>
      <c r="D25" s="7" t="str">
        <f>$A25&amp;"-"&amp;$C25&amp;"-"&amp;TEXT(COUNTIFS($A$2:$A25,$A25,$C$2:$C25,$C25),"000")</f>
        <v>F1-AIINDEX-024</v>
      </c>
      <c r="E25" s="7" t="s">
        <v>83</v>
      </c>
      <c r="F25" s="7" t="s">
        <v>84</v>
      </c>
      <c r="G25" s="7" t="s">
        <v>5</v>
      </c>
    </row>
    <row r="26" spans="1:7">
      <c r="A26" s="7" t="s">
        <v>57</v>
      </c>
      <c r="B26" s="7" t="s">
        <v>12</v>
      </c>
      <c r="C26" s="7" t="str">
        <f>VLOOKUP(B26,Indice!$B$1:$C$22,2,0)</f>
        <v>AIINDEX</v>
      </c>
      <c r="D26" s="7" t="str">
        <f>$A26&amp;"-"&amp;$C26&amp;"-"&amp;TEXT(COUNTIFS($A$2:$A26,$A26,$C$2:$C26,$C26),"000")</f>
        <v>F1-AIINDEX-025</v>
      </c>
      <c r="E26" s="7" t="s">
        <v>85</v>
      </c>
      <c r="F26" s="7" t="s">
        <v>84</v>
      </c>
      <c r="G26" s="7" t="s">
        <v>5</v>
      </c>
    </row>
    <row r="27" spans="1:7">
      <c r="A27" s="7" t="s">
        <v>57</v>
      </c>
      <c r="B27" s="7" t="s">
        <v>12</v>
      </c>
      <c r="C27" s="7" t="str">
        <f>VLOOKUP(B27,Indice!$B$1:$C$22,2,0)</f>
        <v>AIINDEX</v>
      </c>
      <c r="D27" s="7" t="str">
        <f>$A27&amp;"-"&amp;$C27&amp;"-"&amp;TEXT(COUNTIFS($A$2:$A27,$A27,$C$2:$C27,$C27),"000")</f>
        <v>F1-AIINDEX-026</v>
      </c>
      <c r="E27" s="7" t="s">
        <v>86</v>
      </c>
      <c r="F27" s="7" t="s">
        <v>84</v>
      </c>
      <c r="G27" s="7" t="s">
        <v>5</v>
      </c>
    </row>
    <row r="28" spans="1:7">
      <c r="A28" s="7" t="s">
        <v>57</v>
      </c>
      <c r="B28" s="7" t="s">
        <v>12</v>
      </c>
      <c r="C28" s="7" t="str">
        <f>VLOOKUP(B28,Indice!$B$1:$C$22,2,0)</f>
        <v>AIINDEX</v>
      </c>
      <c r="D28" s="7" t="str">
        <f>$A28&amp;"-"&amp;$C28&amp;"-"&amp;TEXT(COUNTIFS($A$2:$A28,$A28,$C$2:$C28,$C28),"000")</f>
        <v>F1-AIINDEX-027</v>
      </c>
      <c r="E28" s="7" t="s">
        <v>87</v>
      </c>
      <c r="F28" s="7" t="s">
        <v>84</v>
      </c>
      <c r="G28" s="7" t="s">
        <v>5</v>
      </c>
    </row>
    <row r="29" spans="1:7">
      <c r="A29" s="7" t="s">
        <v>57</v>
      </c>
      <c r="B29" s="7" t="s">
        <v>12</v>
      </c>
      <c r="C29" s="7" t="str">
        <f>VLOOKUP(B29,Indice!$B$1:$C$22,2,0)</f>
        <v>AIINDEX</v>
      </c>
      <c r="D29" s="7" t="str">
        <f>$A29&amp;"-"&amp;$C29&amp;"-"&amp;TEXT(COUNTIFS($A$2:$A29,$A29,$C$2:$C29,$C29),"000")</f>
        <v>F1-AIINDEX-028</v>
      </c>
      <c r="E29" s="7" t="s">
        <v>88</v>
      </c>
      <c r="F29" s="7" t="s">
        <v>84</v>
      </c>
      <c r="G29" s="7" t="s">
        <v>5</v>
      </c>
    </row>
    <row r="30" spans="1:7">
      <c r="A30" s="7" t="s">
        <v>57</v>
      </c>
      <c r="B30" s="7" t="s">
        <v>12</v>
      </c>
      <c r="C30" s="7" t="str">
        <f>VLOOKUP(B30,Indice!$B$1:$C$22,2,0)</f>
        <v>AIINDEX</v>
      </c>
      <c r="D30" s="7" t="str">
        <f>$A30&amp;"-"&amp;$C30&amp;"-"&amp;TEXT(COUNTIFS($A$2:$A30,$A30,$C$2:$C30,$C30),"000")</f>
        <v>F1-AIINDEX-029</v>
      </c>
      <c r="E30" s="7" t="s">
        <v>89</v>
      </c>
      <c r="F30" s="7" t="s">
        <v>84</v>
      </c>
      <c r="G30" s="7" t="s">
        <v>5</v>
      </c>
    </row>
    <row r="31" spans="1:7">
      <c r="A31" s="7" t="s">
        <v>57</v>
      </c>
      <c r="B31" s="7" t="s">
        <v>12</v>
      </c>
      <c r="C31" s="7" t="str">
        <f>VLOOKUP(B31,Indice!$B$1:$C$22,2,0)</f>
        <v>AIINDEX</v>
      </c>
      <c r="D31" s="7" t="str">
        <f>$A31&amp;"-"&amp;$C31&amp;"-"&amp;TEXT(COUNTIFS($A$2:$A31,$A31,$C$2:$C31,$C31),"000")</f>
        <v>F1-AIINDEX-030</v>
      </c>
      <c r="E31" s="7" t="s">
        <v>90</v>
      </c>
      <c r="F31" s="7" t="s">
        <v>91</v>
      </c>
      <c r="G31" s="7" t="s">
        <v>3</v>
      </c>
    </row>
    <row r="32" spans="1:7">
      <c r="A32" s="7" t="s">
        <v>57</v>
      </c>
      <c r="B32" s="7" t="s">
        <v>12</v>
      </c>
      <c r="C32" s="7" t="str">
        <f>VLOOKUP(B32,Indice!$B$1:$C$22,2,0)</f>
        <v>AIINDEX</v>
      </c>
      <c r="D32" s="7" t="str">
        <f>$A32&amp;"-"&amp;$C32&amp;"-"&amp;TEXT(COUNTIFS($A$2:$A32,$A32,$C$2:$C32,$C32),"000")</f>
        <v>F1-AIINDEX-031</v>
      </c>
      <c r="E32" s="7" t="s">
        <v>92</v>
      </c>
      <c r="F32" s="7" t="s">
        <v>93</v>
      </c>
      <c r="G32" s="7" t="s">
        <v>3</v>
      </c>
    </row>
    <row r="33" spans="1:7">
      <c r="A33" s="7" t="s">
        <v>57</v>
      </c>
      <c r="B33" s="7" t="s">
        <v>12</v>
      </c>
      <c r="C33" s="7" t="str">
        <f>VLOOKUP(B33,Indice!$B$1:$C$22,2,0)</f>
        <v>AIINDEX</v>
      </c>
      <c r="D33" s="7" t="str">
        <f>$A33&amp;"-"&amp;$C33&amp;"-"&amp;TEXT(COUNTIFS($A$2:$A33,$A33,$C$2:$C33,$C33),"000")</f>
        <v>F1-AIINDEX-032</v>
      </c>
      <c r="E33" s="7" t="s">
        <v>94</v>
      </c>
      <c r="F33" s="7" t="s">
        <v>95</v>
      </c>
      <c r="G33" s="7" t="s">
        <v>3</v>
      </c>
    </row>
    <row r="34" spans="1:7">
      <c r="A34" s="7" t="s">
        <v>57</v>
      </c>
      <c r="B34" s="7" t="s">
        <v>12</v>
      </c>
      <c r="C34" s="7" t="str">
        <f>VLOOKUP(B34,Indice!$B$1:$C$22,2,0)</f>
        <v>AIINDEX</v>
      </c>
      <c r="D34" s="7" t="str">
        <f>$A34&amp;"-"&amp;$C34&amp;"-"&amp;TEXT(COUNTIFS($A$2:$A34,$A34,$C$2:$C34,$C34),"000")</f>
        <v>F1-AIINDEX-033</v>
      </c>
      <c r="E34" s="7" t="s">
        <v>96</v>
      </c>
      <c r="F34" s="7" t="s">
        <v>95</v>
      </c>
      <c r="G34" s="7" t="s">
        <v>3</v>
      </c>
    </row>
    <row r="35" spans="1:7">
      <c r="A35" s="7" t="s">
        <v>57</v>
      </c>
      <c r="B35" s="7" t="s">
        <v>12</v>
      </c>
      <c r="C35" s="7" t="str">
        <f>VLOOKUP(B35,Indice!$B$1:$C$22,2,0)</f>
        <v>AIINDEX</v>
      </c>
      <c r="D35" s="7" t="str">
        <f>$A35&amp;"-"&amp;$C35&amp;"-"&amp;TEXT(COUNTIFS($A$2:$A35,$A35,$C$2:$C35,$C35),"000")</f>
        <v>F1-AIINDEX-034</v>
      </c>
      <c r="E35" s="7" t="s">
        <v>97</v>
      </c>
      <c r="F35" s="7" t="s">
        <v>95</v>
      </c>
      <c r="G35" s="7" t="s">
        <v>3</v>
      </c>
    </row>
    <row r="36" spans="1:7">
      <c r="A36" s="7" t="s">
        <v>57</v>
      </c>
      <c r="B36" s="7" t="s">
        <v>12</v>
      </c>
      <c r="C36" s="7" t="str">
        <f>VLOOKUP(B36,Indice!$B$1:$C$22,2,0)</f>
        <v>AIINDEX</v>
      </c>
      <c r="D36" s="7" t="str">
        <f>$A36&amp;"-"&amp;$C36&amp;"-"&amp;TEXT(COUNTIFS($A$2:$A36,$A36,$C$2:$C36,$C36),"000")</f>
        <v>F1-AIINDEX-035</v>
      </c>
      <c r="E36" s="7" t="s">
        <v>98</v>
      </c>
      <c r="F36" s="7" t="s">
        <v>95</v>
      </c>
      <c r="G36" s="7" t="s">
        <v>3</v>
      </c>
    </row>
    <row r="37" spans="1:7">
      <c r="A37" s="7" t="s">
        <v>57</v>
      </c>
      <c r="B37" s="7" t="s">
        <v>12</v>
      </c>
      <c r="C37" s="7" t="str">
        <f>VLOOKUP(B37,Indice!$B$1:$C$22,2,0)</f>
        <v>AIINDEX</v>
      </c>
      <c r="D37" s="7" t="str">
        <f>$A37&amp;"-"&amp;$C37&amp;"-"&amp;TEXT(COUNTIFS($A$2:$A37,$A37,$C$2:$C37,$C37),"000")</f>
        <v>F1-AIINDEX-036</v>
      </c>
      <c r="E37" s="7" t="s">
        <v>99</v>
      </c>
      <c r="F37" s="7" t="s">
        <v>95</v>
      </c>
      <c r="G37" s="7" t="s">
        <v>3</v>
      </c>
    </row>
    <row r="38" spans="1:7">
      <c r="A38" s="7" t="s">
        <v>57</v>
      </c>
      <c r="B38" s="7" t="s">
        <v>12</v>
      </c>
      <c r="C38" s="7" t="str">
        <f>VLOOKUP(B38,Indice!$B$1:$C$22,2,0)</f>
        <v>AIINDEX</v>
      </c>
      <c r="D38" s="7" t="str">
        <f>$A38&amp;"-"&amp;$C38&amp;"-"&amp;TEXT(COUNTIFS($A$2:$A38,$A38,$C$2:$C38,$C38),"000")</f>
        <v>F1-AIINDEX-037</v>
      </c>
      <c r="E38" s="7" t="s">
        <v>100</v>
      </c>
      <c r="F38" s="7" t="s">
        <v>101</v>
      </c>
      <c r="G38" s="7" t="s">
        <v>3</v>
      </c>
    </row>
    <row r="39" spans="1:7">
      <c r="A39" s="7" t="s">
        <v>57</v>
      </c>
      <c r="B39" s="7" t="s">
        <v>12</v>
      </c>
      <c r="C39" s="7" t="str">
        <f>VLOOKUP(B39,Indice!$B$1:$C$22,2,0)</f>
        <v>AIINDEX</v>
      </c>
      <c r="D39" s="7" t="str">
        <f>$A39&amp;"-"&amp;$C39&amp;"-"&amp;TEXT(COUNTIFS($A$2:$A39,$A39,$C$2:$C39,$C39),"000")</f>
        <v>F1-AIINDEX-038</v>
      </c>
      <c r="E39" s="7" t="s">
        <v>102</v>
      </c>
      <c r="F39" s="7" t="s">
        <v>103</v>
      </c>
      <c r="G39" s="7" t="s">
        <v>3</v>
      </c>
    </row>
    <row r="40" spans="1:7">
      <c r="A40" s="7" t="s">
        <v>57</v>
      </c>
      <c r="B40" s="7" t="s">
        <v>12</v>
      </c>
      <c r="C40" s="7" t="str">
        <f>VLOOKUP(B40,Indice!$B$1:$C$22,2,0)</f>
        <v>AIINDEX</v>
      </c>
      <c r="D40" s="7" t="str">
        <f>$A40&amp;"-"&amp;$C40&amp;"-"&amp;TEXT(COUNTIFS($A$2:$A40,$A40,$C$2:$C40,$C40),"000")</f>
        <v>F1-AIINDEX-039</v>
      </c>
      <c r="E40" s="7" t="s">
        <v>104</v>
      </c>
      <c r="F40" s="7" t="s">
        <v>105</v>
      </c>
      <c r="G40" s="7" t="s">
        <v>3</v>
      </c>
    </row>
    <row r="41" spans="1:7">
      <c r="A41" s="7" t="s">
        <v>57</v>
      </c>
      <c r="B41" s="7" t="s">
        <v>12</v>
      </c>
      <c r="C41" s="7" t="str">
        <f>VLOOKUP(B41,Indice!$B$1:$C$22,2,0)</f>
        <v>AIINDEX</v>
      </c>
      <c r="D41" s="7" t="str">
        <f>$A41&amp;"-"&amp;$C41&amp;"-"&amp;TEXT(COUNTIFS($A$2:$A41,$A41,$C$2:$C41,$C41),"000")</f>
        <v>F1-AIINDEX-040</v>
      </c>
      <c r="E41" s="7" t="s">
        <v>106</v>
      </c>
      <c r="F41" s="7" t="s">
        <v>107</v>
      </c>
      <c r="G41" s="7" t="s">
        <v>3</v>
      </c>
    </row>
    <row r="42" spans="1:7">
      <c r="A42" s="7" t="s">
        <v>57</v>
      </c>
      <c r="B42" s="7" t="s">
        <v>12</v>
      </c>
      <c r="C42" s="7" t="str">
        <f>VLOOKUP(B42,Indice!$B$1:$C$22,2,0)</f>
        <v>AIINDEX</v>
      </c>
      <c r="D42" s="7" t="str">
        <f>$A42&amp;"-"&amp;$C42&amp;"-"&amp;TEXT(COUNTIFS($A$2:$A42,$A42,$C$2:$C42,$C42),"000")</f>
        <v>F1-AIINDEX-041</v>
      </c>
      <c r="E42" s="7" t="s">
        <v>108</v>
      </c>
      <c r="F42" s="7" t="s">
        <v>84</v>
      </c>
      <c r="G42" s="7" t="s">
        <v>5</v>
      </c>
    </row>
    <row r="43" spans="1:7">
      <c r="A43" s="7" t="s">
        <v>57</v>
      </c>
      <c r="B43" s="7" t="s">
        <v>12</v>
      </c>
      <c r="C43" s="7" t="str">
        <f>VLOOKUP(B43,Indice!$B$1:$C$22,2,0)</f>
        <v>AIINDEX</v>
      </c>
      <c r="D43" s="7" t="str">
        <f>$A43&amp;"-"&amp;$C43&amp;"-"&amp;TEXT(COUNTIFS($A$2:$A43,$A43,$C$2:$C43,$C43),"000")</f>
        <v>F1-AIINDEX-042</v>
      </c>
      <c r="E43" s="7" t="s">
        <v>109</v>
      </c>
      <c r="F43" s="7" t="s">
        <v>84</v>
      </c>
      <c r="G43" s="7" t="s">
        <v>6</v>
      </c>
    </row>
    <row r="44" spans="1:7">
      <c r="A44" s="7" t="s">
        <v>57</v>
      </c>
      <c r="B44" s="7" t="s">
        <v>12</v>
      </c>
      <c r="C44" s="7" t="str">
        <f>VLOOKUP(B44,Indice!$B$1:$C$22,2,0)</f>
        <v>AIINDEX</v>
      </c>
      <c r="D44" s="7" t="str">
        <f>$A44&amp;"-"&amp;$C44&amp;"-"&amp;TEXT(COUNTIFS($A$2:$A44,$A44,$C$2:$C44,$C44),"000")</f>
        <v>F1-AIINDEX-043</v>
      </c>
      <c r="E44" s="7" t="s">
        <v>110</v>
      </c>
      <c r="F44" s="7" t="s">
        <v>111</v>
      </c>
      <c r="G44" s="7" t="s">
        <v>6</v>
      </c>
    </row>
    <row r="45" spans="1:7">
      <c r="A45" s="7" t="s">
        <v>57</v>
      </c>
      <c r="B45" s="7" t="s">
        <v>12</v>
      </c>
      <c r="C45" s="7" t="str">
        <f>VLOOKUP(B45,Indice!$B$1:$C$22,2,0)</f>
        <v>AIINDEX</v>
      </c>
      <c r="D45" s="7" t="str">
        <f>$A45&amp;"-"&amp;$C45&amp;"-"&amp;TEXT(COUNTIFS($A$2:$A45,$A45,$C$2:$C45,$C45),"000")</f>
        <v>F1-AIINDEX-044</v>
      </c>
      <c r="E45" s="7" t="s">
        <v>112</v>
      </c>
      <c r="F45" s="7" t="s">
        <v>111</v>
      </c>
      <c r="G45" s="7" t="s">
        <v>6</v>
      </c>
    </row>
    <row r="46" spans="1:7">
      <c r="A46" s="7" t="s">
        <v>57</v>
      </c>
      <c r="B46" s="7" t="s">
        <v>12</v>
      </c>
      <c r="C46" s="7" t="str">
        <f>VLOOKUP(B46,Indice!$B$1:$C$22,2,0)</f>
        <v>AIINDEX</v>
      </c>
      <c r="D46" s="7" t="str">
        <f>$A46&amp;"-"&amp;$C46&amp;"-"&amp;TEXT(COUNTIFS($A$2:$A46,$A46,$C$2:$C46,$C46),"000")</f>
        <v>F1-AIINDEX-045</v>
      </c>
      <c r="E46" s="7" t="s">
        <v>113</v>
      </c>
      <c r="F46" s="7" t="s">
        <v>111</v>
      </c>
      <c r="G46" s="7" t="s">
        <v>6</v>
      </c>
    </row>
    <row r="47" spans="1:7">
      <c r="A47" s="7" t="s">
        <v>57</v>
      </c>
      <c r="B47" s="7" t="s">
        <v>12</v>
      </c>
      <c r="C47" s="7" t="str">
        <f>VLOOKUP(B47,Indice!$B$1:$C$22,2,0)</f>
        <v>AIINDEX</v>
      </c>
      <c r="D47" s="7" t="str">
        <f>$A47&amp;"-"&amp;$C47&amp;"-"&amp;TEXT(COUNTIFS($A$2:$A47,$A47,$C$2:$C47,$C47),"000")</f>
        <v>F1-AIINDEX-046</v>
      </c>
      <c r="E47" s="7" t="s">
        <v>114</v>
      </c>
      <c r="F47" s="7" t="s">
        <v>91</v>
      </c>
      <c r="G47" s="7" t="s">
        <v>3</v>
      </c>
    </row>
    <row r="48" spans="1:7">
      <c r="A48" s="7" t="s">
        <v>57</v>
      </c>
      <c r="B48" s="7" t="s">
        <v>12</v>
      </c>
      <c r="C48" s="7" t="str">
        <f>VLOOKUP(B48,Indice!$B$1:$C$22,2,0)</f>
        <v>AIINDEX</v>
      </c>
      <c r="D48" s="7" t="str">
        <f>$A48&amp;"-"&amp;$C48&amp;"-"&amp;TEXT(COUNTIFS($A$2:$A48,$A48,$C$2:$C48,$C48),"000")</f>
        <v>F1-AIINDEX-047</v>
      </c>
      <c r="E48" s="7" t="s">
        <v>115</v>
      </c>
      <c r="F48" s="7" t="s">
        <v>116</v>
      </c>
      <c r="G48" s="7" t="s">
        <v>3</v>
      </c>
    </row>
    <row r="49" spans="1:7">
      <c r="A49" s="7" t="s">
        <v>57</v>
      </c>
      <c r="B49" s="7" t="s">
        <v>12</v>
      </c>
      <c r="C49" s="7" t="str">
        <f>VLOOKUP(B49,Indice!$B$1:$C$22,2,0)</f>
        <v>AIINDEX</v>
      </c>
      <c r="D49" s="7" t="str">
        <f>$A49&amp;"-"&amp;$C49&amp;"-"&amp;TEXT(COUNTIFS($A$2:$A49,$A49,$C$2:$C49,$C49),"000")</f>
        <v>F1-AIINDEX-048</v>
      </c>
      <c r="E49" s="7" t="s">
        <v>117</v>
      </c>
      <c r="F49" s="7" t="s">
        <v>91</v>
      </c>
      <c r="G49" s="7" t="s">
        <v>3</v>
      </c>
    </row>
    <row r="50" spans="1:7">
      <c r="A50" s="7" t="s">
        <v>57</v>
      </c>
      <c r="B50" s="7" t="s">
        <v>12</v>
      </c>
      <c r="C50" s="7" t="str">
        <f>VLOOKUP(B50,Indice!$B$1:$C$22,2,0)</f>
        <v>AIINDEX</v>
      </c>
      <c r="D50" s="7" t="str">
        <f>$A50&amp;"-"&amp;$C50&amp;"-"&amp;TEXT(COUNTIFS($A$2:$A50,$A50,$C$2:$C50,$C50),"000")</f>
        <v>F1-AIINDEX-049</v>
      </c>
      <c r="E50" s="7" t="s">
        <v>118</v>
      </c>
      <c r="F50" s="7" t="s">
        <v>116</v>
      </c>
      <c r="G50" s="7" t="s">
        <v>3</v>
      </c>
    </row>
    <row r="51" spans="1:7">
      <c r="A51" s="7" t="s">
        <v>57</v>
      </c>
      <c r="B51" s="7" t="s">
        <v>12</v>
      </c>
      <c r="C51" s="7" t="str">
        <f>VLOOKUP(B51,Indice!$B$1:$C$22,2,0)</f>
        <v>AIINDEX</v>
      </c>
      <c r="D51" s="7" t="str">
        <f>$A51&amp;"-"&amp;$C51&amp;"-"&amp;TEXT(COUNTIFS($A$2:$A51,$A51,$C$2:$C51,$C51),"000")</f>
        <v>F1-AIINDEX-050</v>
      </c>
      <c r="E51" s="7" t="s">
        <v>119</v>
      </c>
      <c r="F51" s="7" t="s">
        <v>120</v>
      </c>
      <c r="G51" s="7" t="s">
        <v>3</v>
      </c>
    </row>
    <row r="52" spans="1:7">
      <c r="A52" s="7" t="s">
        <v>57</v>
      </c>
      <c r="B52" s="7" t="s">
        <v>12</v>
      </c>
      <c r="C52" s="7" t="str">
        <f>VLOOKUP(B52,Indice!$B$1:$C$22,2,0)</f>
        <v>AIINDEX</v>
      </c>
      <c r="D52" s="7" t="str">
        <f>$A52&amp;"-"&amp;$C52&amp;"-"&amp;TEXT(COUNTIFS($A$2:$A52,$A52,$C$2:$C52,$C52),"000")</f>
        <v>F1-AIINDEX-051</v>
      </c>
      <c r="E52" s="7" t="s">
        <v>121</v>
      </c>
      <c r="F52" s="7" t="s">
        <v>91</v>
      </c>
      <c r="G52" s="7" t="s">
        <v>3</v>
      </c>
    </row>
    <row r="53" spans="1:7">
      <c r="A53" s="7" t="s">
        <v>57</v>
      </c>
      <c r="B53" s="7" t="s">
        <v>12</v>
      </c>
      <c r="C53" s="7" t="str">
        <f>VLOOKUP(B53,Indice!$B$1:$C$22,2,0)</f>
        <v>AIINDEX</v>
      </c>
      <c r="D53" s="7" t="str">
        <f>$A53&amp;"-"&amp;$C53&amp;"-"&amp;TEXT(COUNTIFS($A$2:$A53,$A53,$C$2:$C53,$C53),"000")</f>
        <v>F1-AIINDEX-052</v>
      </c>
      <c r="E53" s="7" t="s">
        <v>122</v>
      </c>
      <c r="F53" s="7" t="s">
        <v>91</v>
      </c>
      <c r="G53" s="7" t="s">
        <v>3</v>
      </c>
    </row>
    <row r="54" spans="1:7">
      <c r="A54" s="7" t="s">
        <v>57</v>
      </c>
      <c r="B54" s="7" t="s">
        <v>12</v>
      </c>
      <c r="C54" s="7" t="str">
        <f>VLOOKUP(B54,Indice!$B$1:$C$22,2,0)</f>
        <v>AIINDEX</v>
      </c>
      <c r="D54" s="7" t="str">
        <f>$A54&amp;"-"&amp;$C54&amp;"-"&amp;TEXT(COUNTIFS($A$2:$A54,$A54,$C$2:$C54,$C54),"000")</f>
        <v>F1-AIINDEX-053</v>
      </c>
      <c r="E54" s="7" t="s">
        <v>123</v>
      </c>
      <c r="F54" s="7" t="s">
        <v>91</v>
      </c>
      <c r="G54" s="7" t="s">
        <v>3</v>
      </c>
    </row>
    <row r="55" spans="1:7">
      <c r="A55" s="7" t="s">
        <v>57</v>
      </c>
      <c r="B55" s="7" t="s">
        <v>12</v>
      </c>
      <c r="C55" s="7" t="str">
        <f>VLOOKUP(B55,Indice!$B$1:$C$22,2,0)</f>
        <v>AIINDEX</v>
      </c>
      <c r="D55" s="7" t="str">
        <f>$A55&amp;"-"&amp;$C55&amp;"-"&amp;TEXT(COUNTIFS($A$2:$A55,$A55,$C$2:$C55,$C55),"000")</f>
        <v>F1-AIINDEX-054</v>
      </c>
      <c r="E55" s="7" t="s">
        <v>124</v>
      </c>
      <c r="F55" s="7" t="s">
        <v>91</v>
      </c>
      <c r="G55" s="7" t="s">
        <v>3</v>
      </c>
    </row>
    <row r="56" spans="1:7">
      <c r="A56" s="7" t="s">
        <v>57</v>
      </c>
      <c r="B56" s="7" t="s">
        <v>12</v>
      </c>
      <c r="C56" s="7" t="str">
        <f>VLOOKUP(B56,Indice!$B$1:$C$22,2,0)</f>
        <v>AIINDEX</v>
      </c>
      <c r="D56" s="7" t="str">
        <f>$A56&amp;"-"&amp;$C56&amp;"-"&amp;TEXT(COUNTIFS($A$2:$A56,$A56,$C$2:$C56,$C56),"000")</f>
        <v>F1-AIINDEX-055</v>
      </c>
      <c r="E56" s="7" t="s">
        <v>125</v>
      </c>
      <c r="F56" s="7" t="s">
        <v>111</v>
      </c>
      <c r="G56" s="7" t="s">
        <v>5</v>
      </c>
    </row>
    <row r="57" spans="1:7">
      <c r="A57" s="7" t="s">
        <v>57</v>
      </c>
      <c r="B57" s="7" t="s">
        <v>12</v>
      </c>
      <c r="C57" s="7" t="str">
        <f>VLOOKUP(B57,Indice!$B$1:$C$22,2,0)</f>
        <v>AIINDEX</v>
      </c>
      <c r="D57" s="7" t="str">
        <f>$A57&amp;"-"&amp;$C57&amp;"-"&amp;TEXT(COUNTIFS($A$2:$A57,$A57,$C$2:$C57,$C57),"000")</f>
        <v>F1-AIINDEX-056</v>
      </c>
      <c r="E57" s="7" t="s">
        <v>126</v>
      </c>
      <c r="F57" s="7" t="s">
        <v>111</v>
      </c>
      <c r="G57" s="7" t="s">
        <v>5</v>
      </c>
    </row>
    <row r="58" spans="1:7">
      <c r="A58" s="7" t="s">
        <v>57</v>
      </c>
      <c r="B58" s="7" t="s">
        <v>12</v>
      </c>
      <c r="C58" s="7" t="str">
        <f>VLOOKUP(B58,Indice!$B$1:$C$22,2,0)</f>
        <v>AIINDEX</v>
      </c>
      <c r="D58" s="7" t="str">
        <f>$A58&amp;"-"&amp;$C58&amp;"-"&amp;TEXT(COUNTIFS($A$2:$A58,$A58,$C$2:$C58,$C58),"000")</f>
        <v>F1-AIINDEX-057</v>
      </c>
      <c r="E58" s="7" t="s">
        <v>127</v>
      </c>
      <c r="F58" s="7" t="s">
        <v>111</v>
      </c>
      <c r="G58" s="7" t="s">
        <v>5</v>
      </c>
    </row>
    <row r="59" spans="1:7">
      <c r="A59" s="7" t="s">
        <v>57</v>
      </c>
      <c r="B59" s="7" t="s">
        <v>12</v>
      </c>
      <c r="C59" s="7" t="str">
        <f>VLOOKUP(B59,Indice!$B$1:$C$22,2,0)</f>
        <v>AIINDEX</v>
      </c>
      <c r="D59" s="7" t="str">
        <f>$A59&amp;"-"&amp;$C59&amp;"-"&amp;TEXT(COUNTIFS($A$2:$A59,$A59,$C$2:$C59,$C59),"000")</f>
        <v>F1-AIINDEX-058</v>
      </c>
      <c r="E59" s="7" t="s">
        <v>128</v>
      </c>
      <c r="F59" s="7" t="s">
        <v>111</v>
      </c>
      <c r="G59" s="7" t="s">
        <v>5</v>
      </c>
    </row>
    <row r="60" spans="1:7">
      <c r="A60" s="7" t="s">
        <v>57</v>
      </c>
      <c r="B60" s="7" t="s">
        <v>12</v>
      </c>
      <c r="C60" s="7" t="str">
        <f>VLOOKUP(B60,Indice!$B$1:$C$22,2,0)</f>
        <v>AIINDEX</v>
      </c>
      <c r="D60" s="7" t="str">
        <f>$A60&amp;"-"&amp;$C60&amp;"-"&amp;TEXT(COUNTIFS($A$2:$A60,$A60,$C$2:$C60,$C60),"000")</f>
        <v>F1-AIINDEX-059</v>
      </c>
      <c r="E60" s="7" t="s">
        <v>129</v>
      </c>
      <c r="F60" s="7" t="s">
        <v>111</v>
      </c>
      <c r="G60" s="7" t="s">
        <v>5</v>
      </c>
    </row>
    <row r="61" spans="1:7">
      <c r="A61" s="7" t="s">
        <v>57</v>
      </c>
      <c r="B61" s="7" t="s">
        <v>12</v>
      </c>
      <c r="C61" s="7" t="str">
        <f>VLOOKUP(B61,Indice!$B$1:$C$22,2,0)</f>
        <v>AIINDEX</v>
      </c>
      <c r="D61" s="7" t="str">
        <f>$A61&amp;"-"&amp;$C61&amp;"-"&amp;TEXT(COUNTIFS($A$2:$A61,$A61,$C$2:$C61,$C61),"000")</f>
        <v>F1-AIINDEX-060</v>
      </c>
      <c r="E61" s="7" t="s">
        <v>130</v>
      </c>
      <c r="F61" s="7" t="s">
        <v>111</v>
      </c>
      <c r="G61" s="7" t="s">
        <v>5</v>
      </c>
    </row>
    <row r="62" spans="1:7">
      <c r="A62" s="7" t="s">
        <v>57</v>
      </c>
      <c r="B62" s="7" t="s">
        <v>12</v>
      </c>
      <c r="C62" s="7" t="str">
        <f>VLOOKUP(B62,Indice!$B$1:$C$22,2,0)</f>
        <v>AIINDEX</v>
      </c>
      <c r="D62" s="7" t="str">
        <f>$A62&amp;"-"&amp;$C62&amp;"-"&amp;TEXT(COUNTIFS($A$2:$A62,$A62,$C$2:$C62,$C62),"000")</f>
        <v>F1-AIINDEX-061</v>
      </c>
      <c r="E62" s="7" t="s">
        <v>131</v>
      </c>
      <c r="F62" s="7" t="s">
        <v>111</v>
      </c>
      <c r="G62" s="7" t="s">
        <v>5</v>
      </c>
    </row>
    <row r="63" spans="1:7">
      <c r="A63" s="7" t="s">
        <v>57</v>
      </c>
      <c r="B63" s="7" t="s">
        <v>12</v>
      </c>
      <c r="C63" s="7" t="str">
        <f>VLOOKUP(B63,Indice!$B$1:$C$22,2,0)</f>
        <v>AIINDEX</v>
      </c>
      <c r="D63" s="7" t="str">
        <f>$A63&amp;"-"&amp;$C63&amp;"-"&amp;TEXT(COUNTIFS($A$2:$A63,$A63,$C$2:$C63,$C63),"000")</f>
        <v>F1-AIINDEX-062</v>
      </c>
      <c r="E63" s="7" t="s">
        <v>132</v>
      </c>
      <c r="F63" s="7" t="s">
        <v>111</v>
      </c>
      <c r="G63" s="7" t="s">
        <v>5</v>
      </c>
    </row>
    <row r="64" spans="1:7">
      <c r="A64" s="7" t="s">
        <v>57</v>
      </c>
      <c r="B64" s="7" t="s">
        <v>12</v>
      </c>
      <c r="C64" s="7" t="str">
        <f>VLOOKUP(B64,Indice!$B$1:$C$22,2,0)</f>
        <v>AIINDEX</v>
      </c>
      <c r="D64" s="7" t="str">
        <f>$A64&amp;"-"&amp;$C64&amp;"-"&amp;TEXT(COUNTIFS($A$2:$A64,$A64,$C$2:$C64,$C64),"000")</f>
        <v>F1-AIINDEX-063</v>
      </c>
      <c r="E64" s="7" t="s">
        <v>133</v>
      </c>
      <c r="F64" s="7" t="s">
        <v>111</v>
      </c>
      <c r="G64" s="7" t="s">
        <v>5</v>
      </c>
    </row>
    <row r="65" spans="1:7">
      <c r="A65" s="7" t="s">
        <v>57</v>
      </c>
      <c r="B65" s="7" t="s">
        <v>12</v>
      </c>
      <c r="C65" s="7" t="str">
        <f>VLOOKUP(B65,Indice!$B$1:$C$22,2,0)</f>
        <v>AIINDEX</v>
      </c>
      <c r="D65" s="7" t="str">
        <f>$A65&amp;"-"&amp;$C65&amp;"-"&amp;TEXT(COUNTIFS($A$2:$A65,$A65,$C$2:$C65,$C65),"000")</f>
        <v>F1-AIINDEX-064</v>
      </c>
      <c r="E65" s="7" t="s">
        <v>134</v>
      </c>
      <c r="F65" s="7" t="s">
        <v>111</v>
      </c>
      <c r="G65" s="7" t="s">
        <v>5</v>
      </c>
    </row>
    <row r="66" spans="1:7">
      <c r="A66" s="7" t="s">
        <v>57</v>
      </c>
      <c r="B66" s="7" t="s">
        <v>12</v>
      </c>
      <c r="C66" s="7" t="str">
        <f>VLOOKUP(B66,Indice!$B$1:$C$22,2,0)</f>
        <v>AIINDEX</v>
      </c>
      <c r="D66" s="7" t="str">
        <f>$A66&amp;"-"&amp;$C66&amp;"-"&amp;TEXT(COUNTIFS($A$2:$A66,$A66,$C$2:$C66,$C66),"000")</f>
        <v>F1-AIINDEX-065</v>
      </c>
      <c r="E66" s="7" t="s">
        <v>135</v>
      </c>
      <c r="F66" s="7" t="s">
        <v>91</v>
      </c>
      <c r="G66" s="7" t="s">
        <v>3</v>
      </c>
    </row>
    <row r="67" spans="1:7">
      <c r="A67" s="7" t="s">
        <v>57</v>
      </c>
      <c r="B67" s="7" t="s">
        <v>14</v>
      </c>
      <c r="C67" s="7" t="str">
        <f>VLOOKUP(B67,Indice!$B$1:$C$22,2,0)</f>
        <v>ATLCOUNCIL</v>
      </c>
      <c r="D67" s="7" t="str">
        <f>$A67&amp;"-"&amp;$C67&amp;"-"&amp;TEXT(COUNTIFS($A$2:$A67,$A67,$C$2:$C67,$C67),"000")</f>
        <v>F1-ATLCOUNCIL-001</v>
      </c>
      <c r="E67" s="7" t="s">
        <v>136</v>
      </c>
      <c r="F67" s="7" t="s">
        <v>137</v>
      </c>
      <c r="G67" s="7" t="s">
        <v>4</v>
      </c>
    </row>
    <row r="68" spans="1:7">
      <c r="A68" s="7" t="s">
        <v>57</v>
      </c>
      <c r="B68" s="7" t="s">
        <v>14</v>
      </c>
      <c r="C68" s="7" t="str">
        <f>VLOOKUP(B68,Indice!$B$1:$C$22,2,0)</f>
        <v>ATLCOUNCIL</v>
      </c>
      <c r="D68" s="7" t="str">
        <f>$A68&amp;"-"&amp;$C68&amp;"-"&amp;TEXT(COUNTIFS($A$2:$A68,$A68,$C$2:$C68,$C68),"000")</f>
        <v>F1-ATLCOUNCIL-002</v>
      </c>
      <c r="E68" s="7" t="s">
        <v>138</v>
      </c>
      <c r="F68" s="7" t="s">
        <v>139</v>
      </c>
      <c r="G68" s="7" t="s">
        <v>4</v>
      </c>
    </row>
    <row r="69" spans="1:7">
      <c r="A69" s="7" t="s">
        <v>57</v>
      </c>
      <c r="B69" s="7" t="s">
        <v>14</v>
      </c>
      <c r="C69" s="7" t="str">
        <f>VLOOKUP(B69,Indice!$B$1:$C$22,2,0)</f>
        <v>ATLCOUNCIL</v>
      </c>
      <c r="D69" s="7" t="str">
        <f>$A69&amp;"-"&amp;$C69&amp;"-"&amp;TEXT(COUNTIFS($A$2:$A69,$A69,$C$2:$C69,$C69),"000")</f>
        <v>F1-ATLCOUNCIL-003</v>
      </c>
      <c r="E69" s="7" t="s">
        <v>140</v>
      </c>
      <c r="F69" s="7" t="s">
        <v>141</v>
      </c>
      <c r="G69" s="7" t="s">
        <v>4</v>
      </c>
    </row>
    <row r="70" spans="1:7">
      <c r="A70" s="7" t="s">
        <v>57</v>
      </c>
      <c r="B70" s="7" t="s">
        <v>14</v>
      </c>
      <c r="C70" s="7" t="str">
        <f>VLOOKUP(B70,Indice!$B$1:$C$22,2,0)</f>
        <v>ATLCOUNCIL</v>
      </c>
      <c r="D70" s="7" t="str">
        <f>$A70&amp;"-"&amp;$C70&amp;"-"&amp;TEXT(COUNTIFS($A$2:$A70,$A70,$C$2:$C70,$C70),"000")</f>
        <v>F1-ATLCOUNCIL-004</v>
      </c>
      <c r="E70" s="7" t="s">
        <v>142</v>
      </c>
      <c r="F70" s="7" t="s">
        <v>143</v>
      </c>
      <c r="G70" s="7" t="s">
        <v>4</v>
      </c>
    </row>
    <row r="71" spans="1:7">
      <c r="A71" s="7" t="s">
        <v>57</v>
      </c>
      <c r="B71" s="7" t="s">
        <v>14</v>
      </c>
      <c r="C71" s="7" t="str">
        <f>VLOOKUP(B71,Indice!$B$1:$C$22,2,0)</f>
        <v>ATLCOUNCIL</v>
      </c>
      <c r="D71" s="7" t="str">
        <f>$A71&amp;"-"&amp;$C71&amp;"-"&amp;TEXT(COUNTIFS($A$2:$A71,$A71,$C$2:$C71,$C71),"000")</f>
        <v>F1-ATLCOUNCIL-005</v>
      </c>
      <c r="E71" s="7" t="s">
        <v>144</v>
      </c>
      <c r="F71" s="7" t="s">
        <v>145</v>
      </c>
      <c r="G71" s="7" t="s">
        <v>4</v>
      </c>
    </row>
    <row r="72" spans="1:7">
      <c r="A72" s="7" t="s">
        <v>57</v>
      </c>
      <c r="B72" s="7" t="s">
        <v>14</v>
      </c>
      <c r="C72" s="7" t="str">
        <f>VLOOKUP(B72,Indice!$B$1:$C$22,2,0)</f>
        <v>ATLCOUNCIL</v>
      </c>
      <c r="D72" s="7" t="str">
        <f>$A72&amp;"-"&amp;$C72&amp;"-"&amp;TEXT(COUNTIFS($A$2:$A72,$A72,$C$2:$C72,$C72),"000")</f>
        <v>F1-ATLCOUNCIL-006</v>
      </c>
      <c r="E72" s="7" t="s">
        <v>146</v>
      </c>
      <c r="F72" s="7" t="s">
        <v>147</v>
      </c>
      <c r="G72" s="7" t="s">
        <v>4</v>
      </c>
    </row>
    <row r="73" spans="1:7">
      <c r="A73" s="7" t="s">
        <v>57</v>
      </c>
      <c r="B73" s="7" t="s">
        <v>14</v>
      </c>
      <c r="C73" s="7" t="str">
        <f>VLOOKUP(B73,Indice!$B$1:$C$22,2,0)</f>
        <v>ATLCOUNCIL</v>
      </c>
      <c r="D73" s="7" t="str">
        <f>$A73&amp;"-"&amp;$C73&amp;"-"&amp;TEXT(COUNTIFS($A$2:$A73,$A73,$C$2:$C73,$C73),"000")</f>
        <v>F1-ATLCOUNCIL-007</v>
      </c>
      <c r="E73" s="7" t="s">
        <v>148</v>
      </c>
      <c r="F73" s="7" t="s">
        <v>149</v>
      </c>
      <c r="G73" s="7" t="s">
        <v>4</v>
      </c>
    </row>
    <row r="74" spans="1:7">
      <c r="A74" s="7" t="s">
        <v>57</v>
      </c>
      <c r="B74" s="7" t="s">
        <v>14</v>
      </c>
      <c r="C74" s="7" t="str">
        <f>VLOOKUP(B74,Indice!$B$1:$C$22,2,0)</f>
        <v>ATLCOUNCIL</v>
      </c>
      <c r="D74" s="7" t="str">
        <f>$A74&amp;"-"&amp;$C74&amp;"-"&amp;TEXT(COUNTIFS($A$2:$A74,$A74,$C$2:$C74,$C74),"000")</f>
        <v>F1-ATLCOUNCIL-008</v>
      </c>
      <c r="E74" s="7" t="s">
        <v>150</v>
      </c>
      <c r="F74" s="7" t="s">
        <v>151</v>
      </c>
      <c r="G74" s="7" t="s">
        <v>4</v>
      </c>
    </row>
    <row r="75" spans="1:7">
      <c r="A75" s="7" t="s">
        <v>57</v>
      </c>
      <c r="B75" s="7" t="s">
        <v>14</v>
      </c>
      <c r="C75" s="7" t="str">
        <f>VLOOKUP(B75,Indice!$B$1:$C$22,2,0)</f>
        <v>ATLCOUNCIL</v>
      </c>
      <c r="D75" s="7" t="str">
        <f>$A75&amp;"-"&amp;$C75&amp;"-"&amp;TEXT(COUNTIFS($A$2:$A75,$A75,$C$2:$C75,$C75),"000")</f>
        <v>F1-ATLCOUNCIL-009</v>
      </c>
      <c r="E75" s="7" t="s">
        <v>152</v>
      </c>
      <c r="F75" s="7" t="s">
        <v>153</v>
      </c>
      <c r="G75" s="7" t="s">
        <v>4</v>
      </c>
    </row>
    <row r="76" spans="1:7">
      <c r="A76" s="7" t="s">
        <v>57</v>
      </c>
      <c r="B76" s="7" t="s">
        <v>14</v>
      </c>
      <c r="C76" s="7" t="str">
        <f>VLOOKUP(B76,Indice!$B$1:$C$22,2,0)</f>
        <v>ATLCOUNCIL</v>
      </c>
      <c r="D76" s="7" t="str">
        <f>$A76&amp;"-"&amp;$C76&amp;"-"&amp;TEXT(COUNTIFS($A$2:$A76,$A76,$C$2:$C76,$C76),"000")</f>
        <v>F1-ATLCOUNCIL-010</v>
      </c>
      <c r="E76" s="7" t="s">
        <v>154</v>
      </c>
      <c r="F76" s="7" t="s">
        <v>155</v>
      </c>
      <c r="G76" s="7" t="s">
        <v>4</v>
      </c>
    </row>
    <row r="77" spans="1:7">
      <c r="A77" s="7" t="s">
        <v>57</v>
      </c>
      <c r="B77" s="7" t="s">
        <v>14</v>
      </c>
      <c r="C77" s="7" t="str">
        <f>VLOOKUP(B77,Indice!$B$1:$C$22,2,0)</f>
        <v>ATLCOUNCIL</v>
      </c>
      <c r="D77" s="7" t="str">
        <f>$A77&amp;"-"&amp;$C77&amp;"-"&amp;TEXT(COUNTIFS($A$2:$A77,$A77,$C$2:$C77,$C77),"000")</f>
        <v>F1-ATLCOUNCIL-011</v>
      </c>
      <c r="E77" s="7" t="s">
        <v>156</v>
      </c>
      <c r="F77" s="7" t="s">
        <v>157</v>
      </c>
      <c r="G77" s="7" t="s">
        <v>4</v>
      </c>
    </row>
    <row r="78" spans="1:7">
      <c r="A78" s="7" t="s">
        <v>57</v>
      </c>
      <c r="B78" s="7" t="s">
        <v>14</v>
      </c>
      <c r="C78" s="7" t="str">
        <f>VLOOKUP(B78,Indice!$B$1:$C$22,2,0)</f>
        <v>ATLCOUNCIL</v>
      </c>
      <c r="D78" s="7" t="str">
        <f>$A78&amp;"-"&amp;$C78&amp;"-"&amp;TEXT(COUNTIFS($A$2:$A78,$A78,$C$2:$C78,$C78),"000")</f>
        <v>F1-ATLCOUNCIL-012</v>
      </c>
      <c r="E78" s="7" t="s">
        <v>158</v>
      </c>
      <c r="F78" s="7" t="s">
        <v>159</v>
      </c>
      <c r="G78" s="7" t="s">
        <v>4</v>
      </c>
    </row>
    <row r="79" spans="1:7">
      <c r="A79" s="7" t="s">
        <v>57</v>
      </c>
      <c r="B79" s="7" t="s">
        <v>14</v>
      </c>
      <c r="C79" s="7" t="str">
        <f>VLOOKUP(B79,Indice!$B$1:$C$22,2,0)</f>
        <v>ATLCOUNCIL</v>
      </c>
      <c r="D79" s="7" t="str">
        <f>$A79&amp;"-"&amp;$C79&amp;"-"&amp;TEXT(COUNTIFS($A$2:$A79,$A79,$C$2:$C79,$C79),"000")</f>
        <v>F1-ATLCOUNCIL-013</v>
      </c>
      <c r="E79" s="7" t="s">
        <v>160</v>
      </c>
      <c r="F79" s="7" t="s">
        <v>161</v>
      </c>
      <c r="G79" s="7" t="s">
        <v>4</v>
      </c>
    </row>
    <row r="80" spans="1:7">
      <c r="A80" s="7" t="s">
        <v>57</v>
      </c>
      <c r="B80" s="7" t="s">
        <v>14</v>
      </c>
      <c r="C80" s="7" t="str">
        <f>VLOOKUP(B80,Indice!$B$1:$C$22,2,0)</f>
        <v>ATLCOUNCIL</v>
      </c>
      <c r="D80" s="7" t="str">
        <f>$A80&amp;"-"&amp;$C80&amp;"-"&amp;TEXT(COUNTIFS($A$2:$A80,$A80,$C$2:$C80,$C80),"000")</f>
        <v>F1-ATLCOUNCIL-014</v>
      </c>
      <c r="E80" s="7" t="s">
        <v>162</v>
      </c>
      <c r="F80" s="7" t="s">
        <v>163</v>
      </c>
      <c r="G80" s="7" t="s">
        <v>4</v>
      </c>
    </row>
    <row r="81" spans="1:7">
      <c r="A81" s="7" t="s">
        <v>57</v>
      </c>
      <c r="B81" s="7" t="s">
        <v>14</v>
      </c>
      <c r="C81" s="7" t="str">
        <f>VLOOKUP(B81,Indice!$B$1:$C$22,2,0)</f>
        <v>ATLCOUNCIL</v>
      </c>
      <c r="D81" s="7" t="str">
        <f>$A81&amp;"-"&amp;$C81&amp;"-"&amp;TEXT(COUNTIFS($A$2:$A81,$A81,$C$2:$C81,$C81),"000")</f>
        <v>F1-ATLCOUNCIL-015</v>
      </c>
      <c r="E81" s="7" t="s">
        <v>164</v>
      </c>
      <c r="F81" s="7" t="s">
        <v>165</v>
      </c>
      <c r="G81" s="7" t="s">
        <v>4</v>
      </c>
    </row>
    <row r="82" spans="1:7">
      <c r="A82" s="7" t="s">
        <v>57</v>
      </c>
      <c r="B82" s="7" t="s">
        <v>14</v>
      </c>
      <c r="C82" s="7" t="str">
        <f>VLOOKUP(B82,Indice!$B$1:$C$22,2,0)</f>
        <v>ATLCOUNCIL</v>
      </c>
      <c r="D82" s="7" t="str">
        <f>$A82&amp;"-"&amp;$C82&amp;"-"&amp;TEXT(COUNTIFS($A$2:$A82,$A82,$C$2:$C82,$C82),"000")</f>
        <v>F1-ATLCOUNCIL-016</v>
      </c>
      <c r="E82" s="7" t="s">
        <v>166</v>
      </c>
      <c r="F82" s="7" t="s">
        <v>167</v>
      </c>
      <c r="G82" s="7" t="s">
        <v>4</v>
      </c>
    </row>
    <row r="83" spans="1:7">
      <c r="A83" s="7" t="s">
        <v>57</v>
      </c>
      <c r="B83" s="7" t="s">
        <v>14</v>
      </c>
      <c r="C83" s="7" t="str">
        <f>VLOOKUP(B83,Indice!$B$1:$C$22,2,0)</f>
        <v>ATLCOUNCIL</v>
      </c>
      <c r="D83" s="7" t="str">
        <f>$A83&amp;"-"&amp;$C83&amp;"-"&amp;TEXT(COUNTIFS($A$2:$A83,$A83,$C$2:$C83,$C83),"000")</f>
        <v>F1-ATLCOUNCIL-017</v>
      </c>
      <c r="E83" s="7" t="s">
        <v>168</v>
      </c>
      <c r="F83" s="7" t="s">
        <v>169</v>
      </c>
      <c r="G83" s="7" t="s">
        <v>4</v>
      </c>
    </row>
    <row r="84" spans="1:7">
      <c r="A84" s="7" t="s">
        <v>57</v>
      </c>
      <c r="B84" s="7" t="s">
        <v>14</v>
      </c>
      <c r="C84" s="7" t="str">
        <f>VLOOKUP(B84,Indice!$B$1:$C$22,2,0)</f>
        <v>ATLCOUNCIL</v>
      </c>
      <c r="D84" s="7" t="str">
        <f>$A84&amp;"-"&amp;$C84&amp;"-"&amp;TEXT(COUNTIFS($A$2:$A84,$A84,$C$2:$C84,$C84),"000")</f>
        <v>F1-ATLCOUNCIL-018</v>
      </c>
      <c r="E84" s="7" t="s">
        <v>170</v>
      </c>
      <c r="F84" s="7" t="s">
        <v>171</v>
      </c>
      <c r="G84" s="7" t="s">
        <v>4</v>
      </c>
    </row>
    <row r="85" spans="1:7">
      <c r="A85" s="7" t="s">
        <v>57</v>
      </c>
      <c r="B85" s="7" t="s">
        <v>14</v>
      </c>
      <c r="C85" s="7" t="str">
        <f>VLOOKUP(B85,Indice!$B$1:$C$22,2,0)</f>
        <v>ATLCOUNCIL</v>
      </c>
      <c r="D85" s="7" t="str">
        <f>$A85&amp;"-"&amp;$C85&amp;"-"&amp;TEXT(COUNTIFS($A$2:$A85,$A85,$C$2:$C85,$C85),"000")</f>
        <v>F1-ATLCOUNCIL-019</v>
      </c>
      <c r="E85" s="7" t="s">
        <v>172</v>
      </c>
      <c r="F85" s="7" t="s">
        <v>173</v>
      </c>
      <c r="G85" s="7" t="s">
        <v>4</v>
      </c>
    </row>
    <row r="86" spans="1:7">
      <c r="A86" s="7" t="s">
        <v>57</v>
      </c>
      <c r="B86" s="7" t="s">
        <v>14</v>
      </c>
      <c r="C86" s="7" t="str">
        <f>VLOOKUP(B86,Indice!$B$1:$C$22,2,0)</f>
        <v>ATLCOUNCIL</v>
      </c>
      <c r="D86" s="7" t="str">
        <f>$A86&amp;"-"&amp;$C86&amp;"-"&amp;TEXT(COUNTIFS($A$2:$A86,$A86,$C$2:$C86,$C86),"000")</f>
        <v>F1-ATLCOUNCIL-020</v>
      </c>
      <c r="E86" s="7" t="s">
        <v>174</v>
      </c>
      <c r="F86" s="7" t="s">
        <v>175</v>
      </c>
      <c r="G86" s="7" t="s">
        <v>4</v>
      </c>
    </row>
    <row r="87" spans="1:7">
      <c r="A87" s="7" t="s">
        <v>57</v>
      </c>
      <c r="B87" s="7" t="s">
        <v>14</v>
      </c>
      <c r="C87" s="7" t="str">
        <f>VLOOKUP(B87,Indice!$B$1:$C$22,2,0)</f>
        <v>ATLCOUNCIL</v>
      </c>
      <c r="D87" s="7" t="str">
        <f>$A87&amp;"-"&amp;$C87&amp;"-"&amp;TEXT(COUNTIFS($A$2:$A87,$A87,$C$2:$C87,$C87),"000")</f>
        <v>F1-ATLCOUNCIL-021</v>
      </c>
      <c r="E87" s="7" t="s">
        <v>176</v>
      </c>
      <c r="F87" s="7" t="s">
        <v>177</v>
      </c>
      <c r="G87" s="7" t="s">
        <v>4</v>
      </c>
    </row>
    <row r="88" spans="1:7">
      <c r="A88" s="7" t="s">
        <v>57</v>
      </c>
      <c r="B88" s="7" t="s">
        <v>14</v>
      </c>
      <c r="C88" s="7" t="str">
        <f>VLOOKUP(B88,Indice!$B$1:$C$22,2,0)</f>
        <v>ATLCOUNCIL</v>
      </c>
      <c r="D88" s="7" t="str">
        <f>$A88&amp;"-"&amp;$C88&amp;"-"&amp;TEXT(COUNTIFS($A$2:$A88,$A88,$C$2:$C88,$C88),"000")</f>
        <v>F1-ATLCOUNCIL-022</v>
      </c>
      <c r="E88" s="7" t="s">
        <v>178</v>
      </c>
      <c r="F88" s="7" t="s">
        <v>179</v>
      </c>
      <c r="G88" s="7" t="s">
        <v>4</v>
      </c>
    </row>
    <row r="89" spans="1:7">
      <c r="A89" s="7" t="s">
        <v>57</v>
      </c>
      <c r="B89" s="7" t="s">
        <v>14</v>
      </c>
      <c r="C89" s="7" t="str">
        <f>VLOOKUP(B89,Indice!$B$1:$C$22,2,0)</f>
        <v>ATLCOUNCIL</v>
      </c>
      <c r="D89" s="7" t="str">
        <f>$A89&amp;"-"&amp;$C89&amp;"-"&amp;TEXT(COUNTIFS($A$2:$A89,$A89,$C$2:$C89,$C89),"000")</f>
        <v>F1-ATLCOUNCIL-023</v>
      </c>
      <c r="E89" s="7" t="s">
        <v>180</v>
      </c>
      <c r="F89" s="7" t="s">
        <v>143</v>
      </c>
      <c r="G89" s="7" t="s">
        <v>4</v>
      </c>
    </row>
    <row r="90" spans="1:7">
      <c r="A90" s="7" t="s">
        <v>57</v>
      </c>
      <c r="B90" s="7" t="s">
        <v>14</v>
      </c>
      <c r="C90" s="7" t="str">
        <f>VLOOKUP(B90,Indice!$B$1:$C$22,2,0)</f>
        <v>ATLCOUNCIL</v>
      </c>
      <c r="D90" s="7" t="str">
        <f>$A90&amp;"-"&amp;$C90&amp;"-"&amp;TEXT(COUNTIFS($A$2:$A90,$A90,$C$2:$C90,$C90),"000")</f>
        <v>F1-ATLCOUNCIL-024</v>
      </c>
      <c r="E90" s="7" t="s">
        <v>181</v>
      </c>
      <c r="F90" s="7" t="s">
        <v>141</v>
      </c>
      <c r="G90" s="7" t="s">
        <v>4</v>
      </c>
    </row>
    <row r="91" spans="1:7">
      <c r="A91" s="7" t="s">
        <v>57</v>
      </c>
      <c r="B91" s="7" t="s">
        <v>14</v>
      </c>
      <c r="C91" s="7" t="str">
        <f>VLOOKUP(B91,Indice!$B$1:$C$22,2,0)</f>
        <v>ATLCOUNCIL</v>
      </c>
      <c r="D91" s="7" t="str">
        <f>$A91&amp;"-"&amp;$C91&amp;"-"&amp;TEXT(COUNTIFS($A$2:$A91,$A91,$C$2:$C91,$C91),"000")</f>
        <v>F1-ATLCOUNCIL-025</v>
      </c>
      <c r="E91" s="7" t="s">
        <v>182</v>
      </c>
      <c r="F91" s="7" t="s">
        <v>175</v>
      </c>
      <c r="G91" s="7" t="s">
        <v>4</v>
      </c>
    </row>
    <row r="92" spans="1:7">
      <c r="A92" s="7" t="s">
        <v>57</v>
      </c>
      <c r="B92" s="7" t="s">
        <v>14</v>
      </c>
      <c r="C92" s="7" t="str">
        <f>VLOOKUP(B92,Indice!$B$1:$C$22,2,0)</f>
        <v>ATLCOUNCIL</v>
      </c>
      <c r="D92" s="7" t="str">
        <f>$A92&amp;"-"&amp;$C92&amp;"-"&amp;TEXT(COUNTIFS($A$2:$A92,$A92,$C$2:$C92,$C92),"000")</f>
        <v>F1-ATLCOUNCIL-026</v>
      </c>
      <c r="E92" s="7" t="s">
        <v>183</v>
      </c>
      <c r="F92" s="7" t="s">
        <v>153</v>
      </c>
      <c r="G92" s="7" t="s">
        <v>4</v>
      </c>
    </row>
    <row r="93" spans="1:7">
      <c r="A93" s="7" t="s">
        <v>57</v>
      </c>
      <c r="B93" s="7" t="s">
        <v>14</v>
      </c>
      <c r="C93" s="7" t="str">
        <f>VLOOKUP(B93,Indice!$B$1:$C$22,2,0)</f>
        <v>ATLCOUNCIL</v>
      </c>
      <c r="D93" s="7" t="str">
        <f>$A93&amp;"-"&amp;$C93&amp;"-"&amp;TEXT(COUNTIFS($A$2:$A93,$A93,$C$2:$C93,$C93),"000")</f>
        <v>F1-ATLCOUNCIL-027</v>
      </c>
      <c r="E93" s="7" t="s">
        <v>184</v>
      </c>
      <c r="F93" s="7" t="s">
        <v>155</v>
      </c>
      <c r="G93" s="7" t="s">
        <v>4</v>
      </c>
    </row>
    <row r="94" spans="1:7">
      <c r="A94" s="7" t="s">
        <v>57</v>
      </c>
      <c r="B94" s="7" t="s">
        <v>14</v>
      </c>
      <c r="C94" s="7" t="str">
        <f>VLOOKUP(B94,Indice!$B$1:$C$22,2,0)</f>
        <v>ATLCOUNCIL</v>
      </c>
      <c r="D94" s="7" t="str">
        <f>$A94&amp;"-"&amp;$C94&amp;"-"&amp;TEXT(COUNTIFS($A$2:$A94,$A94,$C$2:$C94,$C94),"000")</f>
        <v>F1-ATLCOUNCIL-028</v>
      </c>
      <c r="E94" s="7" t="s">
        <v>185</v>
      </c>
      <c r="F94" s="7" t="s">
        <v>149</v>
      </c>
      <c r="G94" s="7" t="s">
        <v>4</v>
      </c>
    </row>
    <row r="95" spans="1:7">
      <c r="A95" s="7" t="s">
        <v>57</v>
      </c>
      <c r="B95" s="7" t="s">
        <v>14</v>
      </c>
      <c r="C95" s="7" t="str">
        <f>VLOOKUP(B95,Indice!$B$1:$C$22,2,0)</f>
        <v>ATLCOUNCIL</v>
      </c>
      <c r="D95" s="7" t="str">
        <f>$A95&amp;"-"&amp;$C95&amp;"-"&amp;TEXT(COUNTIFS($A$2:$A95,$A95,$C$2:$C95,$C95),"000")</f>
        <v>F1-ATLCOUNCIL-029</v>
      </c>
      <c r="E95" s="7" t="s">
        <v>186</v>
      </c>
      <c r="F95" s="7" t="s">
        <v>163</v>
      </c>
      <c r="G95" s="7" t="s">
        <v>4</v>
      </c>
    </row>
    <row r="96" spans="1:7">
      <c r="A96" s="7" t="s">
        <v>57</v>
      </c>
      <c r="B96" s="7" t="s">
        <v>14</v>
      </c>
      <c r="C96" s="7" t="str">
        <f>VLOOKUP(B96,Indice!$B$1:$C$22,2,0)</f>
        <v>ATLCOUNCIL</v>
      </c>
      <c r="D96" s="7" t="str">
        <f>$A96&amp;"-"&amp;$C96&amp;"-"&amp;TEXT(COUNTIFS($A$2:$A96,$A96,$C$2:$C96,$C96),"000")</f>
        <v>F1-ATLCOUNCIL-030</v>
      </c>
      <c r="E96" s="7" t="s">
        <v>187</v>
      </c>
      <c r="F96" s="7" t="s">
        <v>159</v>
      </c>
      <c r="G96" s="7" t="s">
        <v>4</v>
      </c>
    </row>
    <row r="97" spans="1:7">
      <c r="A97" s="7" t="s">
        <v>57</v>
      </c>
      <c r="B97" s="7" t="s">
        <v>14</v>
      </c>
      <c r="C97" s="7" t="str">
        <f>VLOOKUP(B97,Indice!$B$1:$C$22,2,0)</f>
        <v>ATLCOUNCIL</v>
      </c>
      <c r="D97" s="7" t="str">
        <f>$A97&amp;"-"&amp;$C97&amp;"-"&amp;TEXT(COUNTIFS($A$2:$A97,$A97,$C$2:$C97,$C97),"000")</f>
        <v>F1-ATLCOUNCIL-031</v>
      </c>
      <c r="E97" s="7" t="s">
        <v>188</v>
      </c>
      <c r="F97" s="7" t="s">
        <v>165</v>
      </c>
      <c r="G97" s="7" t="s">
        <v>4</v>
      </c>
    </row>
    <row r="98" spans="1:7">
      <c r="A98" s="7" t="s">
        <v>57</v>
      </c>
      <c r="B98" s="7" t="s">
        <v>14</v>
      </c>
      <c r="C98" s="7" t="str">
        <f>VLOOKUP(B98,Indice!$B$1:$C$22,2,0)</f>
        <v>ATLCOUNCIL</v>
      </c>
      <c r="D98" s="7" t="str">
        <f>$A98&amp;"-"&amp;$C98&amp;"-"&amp;TEXT(COUNTIFS($A$2:$A98,$A98,$C$2:$C98,$C98),"000")</f>
        <v>F1-ATLCOUNCIL-032</v>
      </c>
      <c r="E98" s="7" t="s">
        <v>189</v>
      </c>
      <c r="F98" s="7" t="s">
        <v>167</v>
      </c>
      <c r="G98" s="7" t="s">
        <v>4</v>
      </c>
    </row>
    <row r="99" spans="1:7">
      <c r="A99" s="7" t="s">
        <v>57</v>
      </c>
      <c r="B99" s="7" t="s">
        <v>14</v>
      </c>
      <c r="C99" s="7" t="str">
        <f>VLOOKUP(B99,Indice!$B$1:$C$22,2,0)</f>
        <v>ATLCOUNCIL</v>
      </c>
      <c r="D99" s="7" t="str">
        <f>$A99&amp;"-"&amp;$C99&amp;"-"&amp;TEXT(COUNTIFS($A$2:$A99,$A99,$C$2:$C99,$C99),"000")</f>
        <v>F1-ATLCOUNCIL-033</v>
      </c>
      <c r="E99" s="7" t="s">
        <v>190</v>
      </c>
      <c r="F99" s="7" t="s">
        <v>157</v>
      </c>
      <c r="G99" s="7" t="s">
        <v>4</v>
      </c>
    </row>
    <row r="100" spans="1:7">
      <c r="A100" s="7" t="s">
        <v>57</v>
      </c>
      <c r="B100" s="7" t="s">
        <v>14</v>
      </c>
      <c r="C100" s="7" t="str">
        <f>VLOOKUP(B100,Indice!$B$1:$C$22,2,0)</f>
        <v>ATLCOUNCIL</v>
      </c>
      <c r="D100" s="7" t="str">
        <f>$A100&amp;"-"&amp;$C100&amp;"-"&amp;TEXT(COUNTIFS($A$2:$A100,$A100,$C$2:$C100,$C100),"000")</f>
        <v>F1-ATLCOUNCIL-034</v>
      </c>
      <c r="E100" s="7" t="s">
        <v>191</v>
      </c>
      <c r="F100" s="7" t="s">
        <v>137</v>
      </c>
      <c r="G100" s="7" t="s">
        <v>4</v>
      </c>
    </row>
    <row r="101" spans="1:7">
      <c r="A101" s="7" t="s">
        <v>57</v>
      </c>
      <c r="B101" s="7" t="s">
        <v>14</v>
      </c>
      <c r="C101" s="7" t="str">
        <f>VLOOKUP(B101,Indice!$B$1:$C$22,2,0)</f>
        <v>ATLCOUNCIL</v>
      </c>
      <c r="D101" s="7" t="str">
        <f>$A101&amp;"-"&amp;$C101&amp;"-"&amp;TEXT(COUNTIFS($A$2:$A101,$A101,$C$2:$C101,$C101),"000")</f>
        <v>F1-ATLCOUNCIL-035</v>
      </c>
      <c r="E101" s="7" t="s">
        <v>192</v>
      </c>
      <c r="F101" s="7" t="s">
        <v>139</v>
      </c>
      <c r="G101" s="7" t="s">
        <v>4</v>
      </c>
    </row>
    <row r="102" spans="1:7">
      <c r="A102" s="7" t="s">
        <v>57</v>
      </c>
      <c r="B102" s="7" t="s">
        <v>14</v>
      </c>
      <c r="C102" s="7" t="str">
        <f>VLOOKUP(B102,Indice!$B$1:$C$22,2,0)</f>
        <v>ATLCOUNCIL</v>
      </c>
      <c r="D102" s="7" t="str">
        <f>$A102&amp;"-"&amp;$C102&amp;"-"&amp;TEXT(COUNTIFS($A$2:$A102,$A102,$C$2:$C102,$C102),"000")</f>
        <v>F1-ATLCOUNCIL-036</v>
      </c>
      <c r="E102" s="7" t="s">
        <v>193</v>
      </c>
      <c r="F102" s="7" t="s">
        <v>151</v>
      </c>
      <c r="G102" s="7" t="s">
        <v>4</v>
      </c>
    </row>
    <row r="103" spans="1:7">
      <c r="A103" s="7" t="s">
        <v>57</v>
      </c>
      <c r="B103" s="7" t="s">
        <v>14</v>
      </c>
      <c r="C103" s="7" t="str">
        <f>VLOOKUP(B103,Indice!$B$1:$C$22,2,0)</f>
        <v>ATLCOUNCIL</v>
      </c>
      <c r="D103" s="7" t="str">
        <f>$A103&amp;"-"&amp;$C103&amp;"-"&amp;TEXT(COUNTIFS($A$2:$A103,$A103,$C$2:$C103,$C103),"000")</f>
        <v>F1-ATLCOUNCIL-037</v>
      </c>
      <c r="E103" s="7" t="s">
        <v>194</v>
      </c>
      <c r="F103" s="7" t="s">
        <v>173</v>
      </c>
      <c r="G103" s="7" t="s">
        <v>4</v>
      </c>
    </row>
    <row r="104" spans="1:7">
      <c r="A104" s="7" t="s">
        <v>57</v>
      </c>
      <c r="B104" s="7" t="s">
        <v>14</v>
      </c>
      <c r="C104" s="7" t="str">
        <f>VLOOKUP(B104,Indice!$B$1:$C$22,2,0)</f>
        <v>ATLCOUNCIL</v>
      </c>
      <c r="D104" s="7" t="str">
        <f>$A104&amp;"-"&amp;$C104&amp;"-"&amp;TEXT(COUNTIFS($A$2:$A104,$A104,$C$2:$C104,$C104),"000")</f>
        <v>F1-ATLCOUNCIL-038</v>
      </c>
      <c r="E104" s="7" t="s">
        <v>195</v>
      </c>
      <c r="F104" s="7" t="s">
        <v>147</v>
      </c>
      <c r="G104" s="7" t="s">
        <v>4</v>
      </c>
    </row>
    <row r="105" spans="1:7">
      <c r="A105" s="7" t="s">
        <v>57</v>
      </c>
      <c r="B105" s="7" t="s">
        <v>14</v>
      </c>
      <c r="C105" s="7" t="str">
        <f>VLOOKUP(B105,Indice!$B$1:$C$22,2,0)</f>
        <v>ATLCOUNCIL</v>
      </c>
      <c r="D105" s="7" t="str">
        <f>$A105&amp;"-"&amp;$C105&amp;"-"&amp;TEXT(COUNTIFS($A$2:$A105,$A105,$C$2:$C105,$C105),"000")</f>
        <v>F1-ATLCOUNCIL-039</v>
      </c>
      <c r="E105" s="7" t="s">
        <v>196</v>
      </c>
      <c r="F105" s="7" t="s">
        <v>169</v>
      </c>
      <c r="G105" s="7" t="s">
        <v>4</v>
      </c>
    </row>
    <row r="106" spans="1:7">
      <c r="A106" s="7" t="s">
        <v>57</v>
      </c>
      <c r="B106" s="7" t="s">
        <v>14</v>
      </c>
      <c r="C106" s="7" t="str">
        <f>VLOOKUP(B106,Indice!$B$1:$C$22,2,0)</f>
        <v>ATLCOUNCIL</v>
      </c>
      <c r="D106" s="7" t="str">
        <f>$A106&amp;"-"&amp;$C106&amp;"-"&amp;TEXT(COUNTIFS($A$2:$A106,$A106,$C$2:$C106,$C106),"000")</f>
        <v>F1-ATLCOUNCIL-040</v>
      </c>
      <c r="E106" s="7" t="s">
        <v>197</v>
      </c>
      <c r="F106" s="7" t="s">
        <v>145</v>
      </c>
      <c r="G106" s="7" t="s">
        <v>4</v>
      </c>
    </row>
    <row r="107" spans="1:7">
      <c r="A107" s="7" t="s">
        <v>57</v>
      </c>
      <c r="B107" s="7" t="s">
        <v>14</v>
      </c>
      <c r="C107" s="7" t="str">
        <f>VLOOKUP(B107,Indice!$B$1:$C$22,2,0)</f>
        <v>ATLCOUNCIL</v>
      </c>
      <c r="D107" s="7" t="str">
        <f>$A107&amp;"-"&amp;$C107&amp;"-"&amp;TEXT(COUNTIFS($A$2:$A107,$A107,$C$2:$C107,$C107),"000")</f>
        <v>F1-ATLCOUNCIL-041</v>
      </c>
      <c r="E107" s="7" t="s">
        <v>198</v>
      </c>
      <c r="F107" s="7" t="s">
        <v>161</v>
      </c>
      <c r="G107" s="7" t="s">
        <v>4</v>
      </c>
    </row>
    <row r="108" spans="1:7">
      <c r="A108" s="7" t="s">
        <v>57</v>
      </c>
      <c r="B108" s="7" t="s">
        <v>14</v>
      </c>
      <c r="C108" s="7" t="str">
        <f>VLOOKUP(B108,Indice!$B$1:$C$22,2,0)</f>
        <v>ATLCOUNCIL</v>
      </c>
      <c r="D108" s="7" t="str">
        <f>$A108&amp;"-"&amp;$C108&amp;"-"&amp;TEXT(COUNTIFS($A$2:$A108,$A108,$C$2:$C108,$C108),"000")</f>
        <v>F1-ATLCOUNCIL-042</v>
      </c>
      <c r="E108" s="7" t="s">
        <v>199</v>
      </c>
      <c r="F108" s="7" t="s">
        <v>177</v>
      </c>
      <c r="G108" s="7" t="s">
        <v>4</v>
      </c>
    </row>
    <row r="109" spans="1:7">
      <c r="A109" s="7" t="s">
        <v>57</v>
      </c>
      <c r="B109" s="7" t="s">
        <v>14</v>
      </c>
      <c r="C109" s="7" t="str">
        <f>VLOOKUP(B109,Indice!$B$1:$C$22,2,0)</f>
        <v>ATLCOUNCIL</v>
      </c>
      <c r="D109" s="7" t="str">
        <f>$A109&amp;"-"&amp;$C109&amp;"-"&amp;TEXT(COUNTIFS($A$2:$A109,$A109,$C$2:$C109,$C109),"000")</f>
        <v>F1-ATLCOUNCIL-043</v>
      </c>
      <c r="E109" s="7" t="s">
        <v>200</v>
      </c>
      <c r="F109" s="7" t="s">
        <v>171</v>
      </c>
      <c r="G109" s="7" t="s">
        <v>4</v>
      </c>
    </row>
    <row r="110" spans="1:7">
      <c r="A110" s="7" t="s">
        <v>57</v>
      </c>
      <c r="B110" s="7" t="s">
        <v>14</v>
      </c>
      <c r="C110" s="7" t="str">
        <f>VLOOKUP(B110,Indice!$B$1:$C$22,2,0)</f>
        <v>ATLCOUNCIL</v>
      </c>
      <c r="D110" s="7" t="str">
        <f>$A110&amp;"-"&amp;$C110&amp;"-"&amp;TEXT(COUNTIFS($A$2:$A110,$A110,$C$2:$C110,$C110),"000")</f>
        <v>F1-ATLCOUNCIL-044</v>
      </c>
      <c r="E110" s="7" t="s">
        <v>201</v>
      </c>
      <c r="F110" s="7" t="s">
        <v>175</v>
      </c>
      <c r="G110" s="7" t="s">
        <v>4</v>
      </c>
    </row>
    <row r="111" spans="1:7">
      <c r="A111" s="7" t="s">
        <v>57</v>
      </c>
      <c r="B111" s="7" t="s">
        <v>14</v>
      </c>
      <c r="C111" s="7" t="str">
        <f>VLOOKUP(B111,Indice!$B$1:$C$22,2,0)</f>
        <v>ATLCOUNCIL</v>
      </c>
      <c r="D111" s="7" t="str">
        <f>$A111&amp;"-"&amp;$C111&amp;"-"&amp;TEXT(COUNTIFS($A$2:$A111,$A111,$C$2:$C111,$C111),"000")</f>
        <v>F1-ATLCOUNCIL-045</v>
      </c>
      <c r="E111" s="7" t="s">
        <v>202</v>
      </c>
      <c r="F111" s="7" t="s">
        <v>139</v>
      </c>
      <c r="G111" s="7" t="s">
        <v>4</v>
      </c>
    </row>
    <row r="112" spans="1:7">
      <c r="A112" s="7" t="s">
        <v>57</v>
      </c>
      <c r="B112" s="7" t="s">
        <v>14</v>
      </c>
      <c r="C112" s="7" t="str">
        <f>VLOOKUP(B112,Indice!$B$1:$C$22,2,0)</f>
        <v>ATLCOUNCIL</v>
      </c>
      <c r="D112" s="7" t="str">
        <f>$A112&amp;"-"&amp;$C112&amp;"-"&amp;TEXT(COUNTIFS($A$2:$A112,$A112,$C$2:$C112,$C112),"000")</f>
        <v>F1-ATLCOUNCIL-046</v>
      </c>
      <c r="E112" s="7" t="s">
        <v>203</v>
      </c>
      <c r="F112" s="7" t="s">
        <v>169</v>
      </c>
      <c r="G112" s="7" t="s">
        <v>4</v>
      </c>
    </row>
    <row r="113" spans="1:7">
      <c r="A113" s="7" t="s">
        <v>57</v>
      </c>
      <c r="B113" s="7" t="s">
        <v>14</v>
      </c>
      <c r="C113" s="7" t="str">
        <f>VLOOKUP(B113,Indice!$B$1:$C$22,2,0)</f>
        <v>ATLCOUNCIL</v>
      </c>
      <c r="D113" s="7" t="str">
        <f>$A113&amp;"-"&amp;$C113&amp;"-"&amp;TEXT(COUNTIFS($A$2:$A113,$A113,$C$2:$C113,$C113),"000")</f>
        <v>F1-ATLCOUNCIL-047</v>
      </c>
      <c r="E113" s="7" t="s">
        <v>204</v>
      </c>
      <c r="F113" s="7" t="s">
        <v>167</v>
      </c>
      <c r="G113" s="7" t="s">
        <v>4</v>
      </c>
    </row>
    <row r="114" spans="1:7">
      <c r="A114" s="7" t="s">
        <v>57</v>
      </c>
      <c r="B114" s="7" t="s">
        <v>14</v>
      </c>
      <c r="C114" s="7" t="str">
        <f>VLOOKUP(B114,Indice!$B$1:$C$22,2,0)</f>
        <v>ATLCOUNCIL</v>
      </c>
      <c r="D114" s="7" t="str">
        <f>$A114&amp;"-"&amp;$C114&amp;"-"&amp;TEXT(COUNTIFS($A$2:$A114,$A114,$C$2:$C114,$C114),"000")</f>
        <v>F1-ATLCOUNCIL-048</v>
      </c>
      <c r="E114" s="7" t="s">
        <v>205</v>
      </c>
      <c r="F114" s="7" t="s">
        <v>153</v>
      </c>
      <c r="G114" s="7" t="s">
        <v>4</v>
      </c>
    </row>
    <row r="115" spans="1:7">
      <c r="A115" s="7" t="s">
        <v>57</v>
      </c>
      <c r="B115" s="7" t="s">
        <v>14</v>
      </c>
      <c r="C115" s="7" t="str">
        <f>VLOOKUP(B115,Indice!$B$1:$C$22,2,0)</f>
        <v>ATLCOUNCIL</v>
      </c>
      <c r="D115" s="7" t="str">
        <f>$A115&amp;"-"&amp;$C115&amp;"-"&amp;TEXT(COUNTIFS($A$2:$A115,$A115,$C$2:$C115,$C115),"000")</f>
        <v>F1-ATLCOUNCIL-049</v>
      </c>
      <c r="E115" s="7" t="s">
        <v>206</v>
      </c>
      <c r="F115" s="7" t="s">
        <v>149</v>
      </c>
      <c r="G115" s="7" t="s">
        <v>4</v>
      </c>
    </row>
    <row r="116" spans="1:7">
      <c r="A116" s="7" t="s">
        <v>57</v>
      </c>
      <c r="B116" s="7" t="s">
        <v>14</v>
      </c>
      <c r="C116" s="7" t="str">
        <f>VLOOKUP(B116,Indice!$B$1:$C$22,2,0)</f>
        <v>ATLCOUNCIL</v>
      </c>
      <c r="D116" s="7" t="str">
        <f>$A116&amp;"-"&amp;$C116&amp;"-"&amp;TEXT(COUNTIFS($A$2:$A116,$A116,$C$2:$C116,$C116),"000")</f>
        <v>F1-ATLCOUNCIL-050</v>
      </c>
      <c r="E116" s="7" t="s">
        <v>207</v>
      </c>
      <c r="F116" s="7" t="s">
        <v>173</v>
      </c>
      <c r="G116" s="7" t="s">
        <v>4</v>
      </c>
    </row>
    <row r="117" spans="1:7">
      <c r="A117" s="7" t="s">
        <v>57</v>
      </c>
      <c r="B117" s="7" t="s">
        <v>14</v>
      </c>
      <c r="C117" s="7" t="str">
        <f>VLOOKUP(B117,Indice!$B$1:$C$22,2,0)</f>
        <v>ATLCOUNCIL</v>
      </c>
      <c r="D117" s="7" t="str">
        <f>$A117&amp;"-"&amp;$C117&amp;"-"&amp;TEXT(COUNTIFS($A$2:$A117,$A117,$C$2:$C117,$C117),"000")</f>
        <v>F1-ATLCOUNCIL-051</v>
      </c>
      <c r="E117" s="7" t="s">
        <v>208</v>
      </c>
      <c r="F117" s="7" t="s">
        <v>155</v>
      </c>
      <c r="G117" s="7" t="s">
        <v>4</v>
      </c>
    </row>
    <row r="118" spans="1:7">
      <c r="A118" s="7" t="s">
        <v>57</v>
      </c>
      <c r="B118" s="7" t="s">
        <v>14</v>
      </c>
      <c r="C118" s="7" t="str">
        <f>VLOOKUP(B118,Indice!$B$1:$C$22,2,0)</f>
        <v>ATLCOUNCIL</v>
      </c>
      <c r="D118" s="7" t="str">
        <f>$A118&amp;"-"&amp;$C118&amp;"-"&amp;TEXT(COUNTIFS($A$2:$A118,$A118,$C$2:$C118,$C118),"000")</f>
        <v>F1-ATLCOUNCIL-052</v>
      </c>
      <c r="E118" s="7" t="s">
        <v>209</v>
      </c>
      <c r="F118" s="7" t="s">
        <v>147</v>
      </c>
      <c r="G118" s="7" t="s">
        <v>4</v>
      </c>
    </row>
    <row r="119" spans="1:7">
      <c r="A119" s="7" t="s">
        <v>57</v>
      </c>
      <c r="B119" s="7" t="s">
        <v>14</v>
      </c>
      <c r="C119" s="7" t="str">
        <f>VLOOKUP(B119,Indice!$B$1:$C$22,2,0)</f>
        <v>ATLCOUNCIL</v>
      </c>
      <c r="D119" s="7" t="str">
        <f>$A119&amp;"-"&amp;$C119&amp;"-"&amp;TEXT(COUNTIFS($A$2:$A119,$A119,$C$2:$C119,$C119),"000")</f>
        <v>F1-ATLCOUNCIL-053</v>
      </c>
      <c r="E119" s="7" t="s">
        <v>210</v>
      </c>
      <c r="F119" s="7" t="s">
        <v>163</v>
      </c>
      <c r="G119" s="7" t="s">
        <v>4</v>
      </c>
    </row>
    <row r="120" spans="1:7">
      <c r="A120" s="7" t="s">
        <v>57</v>
      </c>
      <c r="B120" s="7" t="s">
        <v>14</v>
      </c>
      <c r="C120" s="7" t="str">
        <f>VLOOKUP(B120,Indice!$B$1:$C$22,2,0)</f>
        <v>ATLCOUNCIL</v>
      </c>
      <c r="D120" s="7" t="str">
        <f>$A120&amp;"-"&amp;$C120&amp;"-"&amp;TEXT(COUNTIFS($A$2:$A120,$A120,$C$2:$C120,$C120),"000")</f>
        <v>F1-ATLCOUNCIL-054</v>
      </c>
      <c r="E120" s="7" t="s">
        <v>211</v>
      </c>
      <c r="F120" s="7" t="s">
        <v>177</v>
      </c>
      <c r="G120" s="7" t="s">
        <v>4</v>
      </c>
    </row>
    <row r="121" spans="1:7">
      <c r="A121" s="7" t="s">
        <v>57</v>
      </c>
      <c r="B121" s="7" t="s">
        <v>14</v>
      </c>
      <c r="C121" s="7" t="str">
        <f>VLOOKUP(B121,Indice!$B$1:$C$22,2,0)</f>
        <v>ATLCOUNCIL</v>
      </c>
      <c r="D121" s="7" t="str">
        <f>$A121&amp;"-"&amp;$C121&amp;"-"&amp;TEXT(COUNTIFS($A$2:$A121,$A121,$C$2:$C121,$C121),"000")</f>
        <v>F1-ATLCOUNCIL-055</v>
      </c>
      <c r="E121" s="7" t="s">
        <v>212</v>
      </c>
      <c r="F121" s="7" t="s">
        <v>157</v>
      </c>
      <c r="G121" s="7" t="s">
        <v>4</v>
      </c>
    </row>
    <row r="122" spans="1:7">
      <c r="A122" s="7" t="s">
        <v>57</v>
      </c>
      <c r="B122" s="7" t="s">
        <v>14</v>
      </c>
      <c r="C122" s="7" t="str">
        <f>VLOOKUP(B122,Indice!$B$1:$C$22,2,0)</f>
        <v>ATLCOUNCIL</v>
      </c>
      <c r="D122" s="7" t="str">
        <f>$A122&amp;"-"&amp;$C122&amp;"-"&amp;TEXT(COUNTIFS($A$2:$A122,$A122,$C$2:$C122,$C122),"000")</f>
        <v>F1-ATLCOUNCIL-056</v>
      </c>
      <c r="E122" s="7" t="s">
        <v>213</v>
      </c>
      <c r="F122" s="7" t="s">
        <v>161</v>
      </c>
      <c r="G122" s="7" t="s">
        <v>4</v>
      </c>
    </row>
    <row r="123" spans="1:7">
      <c r="A123" s="7" t="s">
        <v>57</v>
      </c>
      <c r="B123" s="7" t="s">
        <v>14</v>
      </c>
      <c r="C123" s="7" t="str">
        <f>VLOOKUP(B123,Indice!$B$1:$C$22,2,0)</f>
        <v>ATLCOUNCIL</v>
      </c>
      <c r="D123" s="7" t="str">
        <f>$A123&amp;"-"&amp;$C123&amp;"-"&amp;TEXT(COUNTIFS($A$2:$A123,$A123,$C$2:$C123,$C123),"000")</f>
        <v>F1-ATLCOUNCIL-057</v>
      </c>
      <c r="E123" s="7" t="s">
        <v>214</v>
      </c>
      <c r="F123" s="7" t="s">
        <v>141</v>
      </c>
      <c r="G123" s="7" t="s">
        <v>4</v>
      </c>
    </row>
    <row r="124" spans="1:7">
      <c r="A124" s="7" t="s">
        <v>57</v>
      </c>
      <c r="B124" s="7" t="s">
        <v>14</v>
      </c>
      <c r="C124" s="7" t="str">
        <f>VLOOKUP(B124,Indice!$B$1:$C$22,2,0)</f>
        <v>ATLCOUNCIL</v>
      </c>
      <c r="D124" s="7" t="str">
        <f>$A124&amp;"-"&amp;$C124&amp;"-"&amp;TEXT(COUNTIFS($A$2:$A124,$A124,$C$2:$C124,$C124),"000")</f>
        <v>F1-ATLCOUNCIL-058</v>
      </c>
      <c r="E124" s="7" t="s">
        <v>215</v>
      </c>
      <c r="F124" s="7" t="s">
        <v>143</v>
      </c>
      <c r="G124" s="7" t="s">
        <v>4</v>
      </c>
    </row>
    <row r="125" spans="1:7">
      <c r="A125" s="7" t="s">
        <v>57</v>
      </c>
      <c r="B125" s="7" t="s">
        <v>14</v>
      </c>
      <c r="C125" s="7" t="str">
        <f>VLOOKUP(B125,Indice!$B$1:$C$22,2,0)</f>
        <v>ATLCOUNCIL</v>
      </c>
      <c r="D125" s="7" t="str">
        <f>$A125&amp;"-"&amp;$C125&amp;"-"&amp;TEXT(COUNTIFS($A$2:$A125,$A125,$C$2:$C125,$C125),"000")</f>
        <v>F1-ATLCOUNCIL-059</v>
      </c>
      <c r="E125" s="7" t="s">
        <v>216</v>
      </c>
      <c r="F125" s="7" t="s">
        <v>165</v>
      </c>
      <c r="G125" s="7" t="s">
        <v>4</v>
      </c>
    </row>
    <row r="126" spans="1:7">
      <c r="A126" s="7" t="s">
        <v>57</v>
      </c>
      <c r="B126" s="7" t="s">
        <v>14</v>
      </c>
      <c r="C126" s="7" t="str">
        <f>VLOOKUP(B126,Indice!$B$1:$C$22,2,0)</f>
        <v>ATLCOUNCIL</v>
      </c>
      <c r="D126" s="7" t="str">
        <f>$A126&amp;"-"&amp;$C126&amp;"-"&amp;TEXT(COUNTIFS($A$2:$A126,$A126,$C$2:$C126,$C126),"000")</f>
        <v>F1-ATLCOUNCIL-060</v>
      </c>
      <c r="E126" s="7" t="s">
        <v>217</v>
      </c>
      <c r="F126" s="7" t="s">
        <v>159</v>
      </c>
      <c r="G126" s="7" t="s">
        <v>4</v>
      </c>
    </row>
    <row r="127" spans="1:7">
      <c r="A127" s="7" t="s">
        <v>57</v>
      </c>
      <c r="B127" s="7" t="s">
        <v>14</v>
      </c>
      <c r="C127" s="7" t="str">
        <f>VLOOKUP(B127,Indice!$B$1:$C$22,2,0)</f>
        <v>ATLCOUNCIL</v>
      </c>
      <c r="D127" s="7" t="str">
        <f>$A127&amp;"-"&amp;$C127&amp;"-"&amp;TEXT(COUNTIFS($A$2:$A127,$A127,$C$2:$C127,$C127),"000")</f>
        <v>F1-ATLCOUNCIL-061</v>
      </c>
      <c r="E127" s="7" t="s">
        <v>218</v>
      </c>
      <c r="F127" s="7" t="s">
        <v>171</v>
      </c>
      <c r="G127" s="7" t="s">
        <v>4</v>
      </c>
    </row>
    <row r="128" spans="1:7">
      <c r="A128" s="7" t="s">
        <v>57</v>
      </c>
      <c r="B128" s="7" t="s">
        <v>14</v>
      </c>
      <c r="C128" s="7" t="str">
        <f>VLOOKUP(B128,Indice!$B$1:$C$22,2,0)</f>
        <v>ATLCOUNCIL</v>
      </c>
      <c r="D128" s="7" t="str">
        <f>$A128&amp;"-"&amp;$C128&amp;"-"&amp;TEXT(COUNTIFS($A$2:$A128,$A128,$C$2:$C128,$C128),"000")</f>
        <v>F1-ATLCOUNCIL-062</v>
      </c>
      <c r="E128" s="7" t="s">
        <v>219</v>
      </c>
      <c r="F128" s="7" t="s">
        <v>137</v>
      </c>
      <c r="G128" s="7" t="s">
        <v>4</v>
      </c>
    </row>
    <row r="129" spans="1:7">
      <c r="A129" s="7" t="s">
        <v>57</v>
      </c>
      <c r="B129" s="7" t="s">
        <v>14</v>
      </c>
      <c r="C129" s="7" t="str">
        <f>VLOOKUP(B129,Indice!$B$1:$C$22,2,0)</f>
        <v>ATLCOUNCIL</v>
      </c>
      <c r="D129" s="7" t="str">
        <f>$A129&amp;"-"&amp;$C129&amp;"-"&amp;TEXT(COUNTIFS($A$2:$A129,$A129,$C$2:$C129,$C129),"000")</f>
        <v>F1-ATLCOUNCIL-063</v>
      </c>
      <c r="E129" s="7" t="s">
        <v>220</v>
      </c>
      <c r="F129" s="7" t="s">
        <v>145</v>
      </c>
      <c r="G129" s="7" t="s">
        <v>4</v>
      </c>
    </row>
    <row r="130" spans="1:7">
      <c r="A130" s="7" t="s">
        <v>57</v>
      </c>
      <c r="B130" s="7" t="s">
        <v>14</v>
      </c>
      <c r="C130" s="7" t="str">
        <f>VLOOKUP(B130,Indice!$B$1:$C$22,2,0)</f>
        <v>ATLCOUNCIL</v>
      </c>
      <c r="D130" s="7" t="str">
        <f>$A130&amp;"-"&amp;$C130&amp;"-"&amp;TEXT(COUNTIFS($A$2:$A130,$A130,$C$2:$C130,$C130),"000")</f>
        <v>F1-ATLCOUNCIL-064</v>
      </c>
      <c r="E130" s="7" t="s">
        <v>221</v>
      </c>
      <c r="F130" s="7" t="s">
        <v>151</v>
      </c>
      <c r="G130" s="7" t="s">
        <v>4</v>
      </c>
    </row>
    <row r="131" spans="1:7">
      <c r="A131" s="7" t="s">
        <v>57</v>
      </c>
      <c r="B131" s="7" t="s">
        <v>14</v>
      </c>
      <c r="C131" s="7" t="str">
        <f>VLOOKUP(B131,Indice!$B$1:$C$22,2,0)</f>
        <v>ATLCOUNCIL</v>
      </c>
      <c r="D131" s="7" t="str">
        <f>$A131&amp;"-"&amp;$C131&amp;"-"&amp;TEXT(COUNTIFS($A$2:$A131,$A131,$C$2:$C131,$C131),"000")</f>
        <v>F1-ATLCOUNCIL-065</v>
      </c>
      <c r="E131" s="7" t="s">
        <v>222</v>
      </c>
      <c r="F131" s="7" t="s">
        <v>171</v>
      </c>
      <c r="G131" s="7" t="s">
        <v>4</v>
      </c>
    </row>
    <row r="132" spans="1:7">
      <c r="A132" s="7" t="s">
        <v>57</v>
      </c>
      <c r="B132" s="7" t="s">
        <v>14</v>
      </c>
      <c r="C132" s="7" t="str">
        <f>VLOOKUP(B132,Indice!$B$1:$C$22,2,0)</f>
        <v>ATLCOUNCIL</v>
      </c>
      <c r="D132" s="7" t="str">
        <f>$A132&amp;"-"&amp;$C132&amp;"-"&amp;TEXT(COUNTIFS($A$2:$A132,$A132,$C$2:$C132,$C132),"000")</f>
        <v>F1-ATLCOUNCIL-066</v>
      </c>
      <c r="E132" s="7" t="s">
        <v>223</v>
      </c>
      <c r="F132" s="7" t="s">
        <v>137</v>
      </c>
      <c r="G132" s="7" t="s">
        <v>4</v>
      </c>
    </row>
    <row r="133" spans="1:7">
      <c r="A133" s="7" t="s">
        <v>57</v>
      </c>
      <c r="B133" s="7" t="s">
        <v>14</v>
      </c>
      <c r="C133" s="7" t="str">
        <f>VLOOKUP(B133,Indice!$B$1:$C$22,2,0)</f>
        <v>ATLCOUNCIL</v>
      </c>
      <c r="D133" s="7" t="str">
        <f>$A133&amp;"-"&amp;$C133&amp;"-"&amp;TEXT(COUNTIFS($A$2:$A133,$A133,$C$2:$C133,$C133),"000")</f>
        <v>F1-ATLCOUNCIL-067</v>
      </c>
      <c r="E133" s="7" t="s">
        <v>224</v>
      </c>
      <c r="F133" s="7" t="s">
        <v>175</v>
      </c>
      <c r="G133" s="7" t="s">
        <v>4</v>
      </c>
    </row>
    <row r="134" spans="1:7">
      <c r="A134" s="7" t="s">
        <v>57</v>
      </c>
      <c r="B134" s="7" t="s">
        <v>14</v>
      </c>
      <c r="C134" s="7" t="str">
        <f>VLOOKUP(B134,Indice!$B$1:$C$22,2,0)</f>
        <v>ATLCOUNCIL</v>
      </c>
      <c r="D134" s="7" t="str">
        <f>$A134&amp;"-"&amp;$C134&amp;"-"&amp;TEXT(COUNTIFS($A$2:$A134,$A134,$C$2:$C134,$C134),"000")</f>
        <v>F1-ATLCOUNCIL-068</v>
      </c>
      <c r="E134" s="7" t="s">
        <v>225</v>
      </c>
      <c r="F134" s="7" t="s">
        <v>147</v>
      </c>
      <c r="G134" s="7" t="s">
        <v>4</v>
      </c>
    </row>
    <row r="135" spans="1:7">
      <c r="A135" s="7" t="s">
        <v>57</v>
      </c>
      <c r="B135" s="7" t="s">
        <v>14</v>
      </c>
      <c r="C135" s="7" t="str">
        <f>VLOOKUP(B135,Indice!$B$1:$C$22,2,0)</f>
        <v>ATLCOUNCIL</v>
      </c>
      <c r="D135" s="7" t="str">
        <f>$A135&amp;"-"&amp;$C135&amp;"-"&amp;TEXT(COUNTIFS($A$2:$A135,$A135,$C$2:$C135,$C135),"000")</f>
        <v>F1-ATLCOUNCIL-069</v>
      </c>
      <c r="E135" s="7" t="s">
        <v>226</v>
      </c>
      <c r="F135" s="7" t="s">
        <v>149</v>
      </c>
      <c r="G135" s="7" t="s">
        <v>4</v>
      </c>
    </row>
    <row r="136" spans="1:7">
      <c r="A136" s="7" t="s">
        <v>57</v>
      </c>
      <c r="B136" s="7" t="s">
        <v>14</v>
      </c>
      <c r="C136" s="7" t="str">
        <f>VLOOKUP(B136,Indice!$B$1:$C$22,2,0)</f>
        <v>ATLCOUNCIL</v>
      </c>
      <c r="D136" s="7" t="str">
        <f>$A136&amp;"-"&amp;$C136&amp;"-"&amp;TEXT(COUNTIFS($A$2:$A136,$A136,$C$2:$C136,$C136),"000")</f>
        <v>F1-ATLCOUNCIL-070</v>
      </c>
      <c r="E136" s="7" t="s">
        <v>227</v>
      </c>
      <c r="F136" s="7" t="s">
        <v>155</v>
      </c>
      <c r="G136" s="7" t="s">
        <v>4</v>
      </c>
    </row>
    <row r="137" spans="1:7">
      <c r="A137" s="7" t="s">
        <v>57</v>
      </c>
      <c r="B137" s="7" t="s">
        <v>14</v>
      </c>
      <c r="C137" s="7" t="str">
        <f>VLOOKUP(B137,Indice!$B$1:$C$22,2,0)</f>
        <v>ATLCOUNCIL</v>
      </c>
      <c r="D137" s="7" t="str">
        <f>$A137&amp;"-"&amp;$C137&amp;"-"&amp;TEXT(COUNTIFS($A$2:$A137,$A137,$C$2:$C137,$C137),"000")</f>
        <v>F1-ATLCOUNCIL-071</v>
      </c>
      <c r="E137" s="7" t="s">
        <v>228</v>
      </c>
      <c r="F137" s="7" t="s">
        <v>153</v>
      </c>
      <c r="G137" s="7" t="s">
        <v>4</v>
      </c>
    </row>
    <row r="138" spans="1:7">
      <c r="A138" s="7" t="s">
        <v>57</v>
      </c>
      <c r="B138" s="7" t="s">
        <v>14</v>
      </c>
      <c r="C138" s="7" t="str">
        <f>VLOOKUP(B138,Indice!$B$1:$C$22,2,0)</f>
        <v>ATLCOUNCIL</v>
      </c>
      <c r="D138" s="7" t="str">
        <f>$A138&amp;"-"&amp;$C138&amp;"-"&amp;TEXT(COUNTIFS($A$2:$A138,$A138,$C$2:$C138,$C138),"000")</f>
        <v>F1-ATLCOUNCIL-072</v>
      </c>
      <c r="E138" s="7" t="s">
        <v>229</v>
      </c>
      <c r="F138" s="7" t="s">
        <v>151</v>
      </c>
      <c r="G138" s="7" t="s">
        <v>4</v>
      </c>
    </row>
    <row r="139" spans="1:7">
      <c r="A139" s="7" t="s">
        <v>57</v>
      </c>
      <c r="B139" s="7" t="s">
        <v>14</v>
      </c>
      <c r="C139" s="7" t="str">
        <f>VLOOKUP(B139,Indice!$B$1:$C$22,2,0)</f>
        <v>ATLCOUNCIL</v>
      </c>
      <c r="D139" s="7" t="str">
        <f>$A139&amp;"-"&amp;$C139&amp;"-"&amp;TEXT(COUNTIFS($A$2:$A139,$A139,$C$2:$C139,$C139),"000")</f>
        <v>F1-ATLCOUNCIL-073</v>
      </c>
      <c r="E139" s="7" t="s">
        <v>230</v>
      </c>
      <c r="F139" s="7" t="s">
        <v>159</v>
      </c>
      <c r="G139" s="7" t="s">
        <v>4</v>
      </c>
    </row>
    <row r="140" spans="1:7">
      <c r="A140" s="7" t="s">
        <v>57</v>
      </c>
      <c r="B140" s="7" t="s">
        <v>14</v>
      </c>
      <c r="C140" s="7" t="str">
        <f>VLOOKUP(B140,Indice!$B$1:$C$22,2,0)</f>
        <v>ATLCOUNCIL</v>
      </c>
      <c r="D140" s="7" t="str">
        <f>$A140&amp;"-"&amp;$C140&amp;"-"&amp;TEXT(COUNTIFS($A$2:$A140,$A140,$C$2:$C140,$C140),"000")</f>
        <v>F1-ATLCOUNCIL-074</v>
      </c>
      <c r="E140" s="7" t="s">
        <v>231</v>
      </c>
      <c r="F140" s="7" t="s">
        <v>163</v>
      </c>
      <c r="G140" s="7" t="s">
        <v>4</v>
      </c>
    </row>
    <row r="141" spans="1:7">
      <c r="A141" s="7" t="s">
        <v>57</v>
      </c>
      <c r="B141" s="7" t="s">
        <v>14</v>
      </c>
      <c r="C141" s="7" t="str">
        <f>VLOOKUP(B141,Indice!$B$1:$C$22,2,0)</f>
        <v>ATLCOUNCIL</v>
      </c>
      <c r="D141" s="7" t="str">
        <f>$A141&amp;"-"&amp;$C141&amp;"-"&amp;TEXT(COUNTIFS($A$2:$A141,$A141,$C$2:$C141,$C141),"000")</f>
        <v>F1-ATLCOUNCIL-075</v>
      </c>
      <c r="E141" s="7" t="s">
        <v>232</v>
      </c>
      <c r="F141" s="7" t="s">
        <v>177</v>
      </c>
      <c r="G141" s="7" t="s">
        <v>4</v>
      </c>
    </row>
    <row r="142" spans="1:7">
      <c r="A142" s="7" t="s">
        <v>57</v>
      </c>
      <c r="B142" s="7" t="s">
        <v>14</v>
      </c>
      <c r="C142" s="7" t="str">
        <f>VLOOKUP(B142,Indice!$B$1:$C$22,2,0)</f>
        <v>ATLCOUNCIL</v>
      </c>
      <c r="D142" s="7" t="str">
        <f>$A142&amp;"-"&amp;$C142&amp;"-"&amp;TEXT(COUNTIFS($A$2:$A142,$A142,$C$2:$C142,$C142),"000")</f>
        <v>F1-ATLCOUNCIL-076</v>
      </c>
      <c r="E142" s="7" t="s">
        <v>233</v>
      </c>
      <c r="F142" s="7" t="s">
        <v>173</v>
      </c>
      <c r="G142" s="7" t="s">
        <v>4</v>
      </c>
    </row>
    <row r="143" spans="1:7">
      <c r="A143" s="7" t="s">
        <v>57</v>
      </c>
      <c r="B143" s="7" t="s">
        <v>14</v>
      </c>
      <c r="C143" s="7" t="str">
        <f>VLOOKUP(B143,Indice!$B$1:$C$22,2,0)</f>
        <v>ATLCOUNCIL</v>
      </c>
      <c r="D143" s="7" t="str">
        <f>$A143&amp;"-"&amp;$C143&amp;"-"&amp;TEXT(COUNTIFS($A$2:$A143,$A143,$C$2:$C143,$C143),"000")</f>
        <v>F1-ATLCOUNCIL-077</v>
      </c>
      <c r="E143" s="7" t="s">
        <v>234</v>
      </c>
      <c r="F143" s="7" t="s">
        <v>167</v>
      </c>
      <c r="G143" s="7" t="s">
        <v>4</v>
      </c>
    </row>
    <row r="144" spans="1:7">
      <c r="A144" s="7" t="s">
        <v>57</v>
      </c>
      <c r="B144" s="7" t="s">
        <v>14</v>
      </c>
      <c r="C144" s="7" t="str">
        <f>VLOOKUP(B144,Indice!$B$1:$C$22,2,0)</f>
        <v>ATLCOUNCIL</v>
      </c>
      <c r="D144" s="7" t="str">
        <f>$A144&amp;"-"&amp;$C144&amp;"-"&amp;TEXT(COUNTIFS($A$2:$A144,$A144,$C$2:$C144,$C144),"000")</f>
        <v>F1-ATLCOUNCIL-078</v>
      </c>
      <c r="E144" s="7" t="s">
        <v>235</v>
      </c>
      <c r="F144" s="7" t="s">
        <v>165</v>
      </c>
      <c r="G144" s="7" t="s">
        <v>4</v>
      </c>
    </row>
    <row r="145" spans="1:7">
      <c r="A145" s="7" t="s">
        <v>57</v>
      </c>
      <c r="B145" s="7" t="s">
        <v>14</v>
      </c>
      <c r="C145" s="7" t="str">
        <f>VLOOKUP(B145,Indice!$B$1:$C$22,2,0)</f>
        <v>ATLCOUNCIL</v>
      </c>
      <c r="D145" s="7" t="str">
        <f>$A145&amp;"-"&amp;$C145&amp;"-"&amp;TEXT(COUNTIFS($A$2:$A145,$A145,$C$2:$C145,$C145),"000")</f>
        <v>F1-ATLCOUNCIL-079</v>
      </c>
      <c r="E145" s="7" t="s">
        <v>236</v>
      </c>
      <c r="F145" s="7" t="s">
        <v>139</v>
      </c>
      <c r="G145" s="7" t="s">
        <v>4</v>
      </c>
    </row>
    <row r="146" spans="1:7">
      <c r="A146" s="7" t="s">
        <v>57</v>
      </c>
      <c r="B146" s="7" t="s">
        <v>14</v>
      </c>
      <c r="C146" s="7" t="str">
        <f>VLOOKUP(B146,Indice!$B$1:$C$22,2,0)</f>
        <v>ATLCOUNCIL</v>
      </c>
      <c r="D146" s="7" t="str">
        <f>$A146&amp;"-"&amp;$C146&amp;"-"&amp;TEXT(COUNTIFS($A$2:$A146,$A146,$C$2:$C146,$C146),"000")</f>
        <v>F1-ATLCOUNCIL-080</v>
      </c>
      <c r="E146" s="7" t="s">
        <v>237</v>
      </c>
      <c r="F146" s="7" t="s">
        <v>161</v>
      </c>
      <c r="G146" s="7" t="s">
        <v>4</v>
      </c>
    </row>
    <row r="147" spans="1:7">
      <c r="A147" s="7" t="s">
        <v>57</v>
      </c>
      <c r="B147" s="7" t="s">
        <v>14</v>
      </c>
      <c r="C147" s="7" t="str">
        <f>VLOOKUP(B147,Indice!$B$1:$C$22,2,0)</f>
        <v>ATLCOUNCIL</v>
      </c>
      <c r="D147" s="7" t="str">
        <f>$A147&amp;"-"&amp;$C147&amp;"-"&amp;TEXT(COUNTIFS($A$2:$A147,$A147,$C$2:$C147,$C147),"000")</f>
        <v>F1-ATLCOUNCIL-081</v>
      </c>
      <c r="E147" s="7" t="s">
        <v>238</v>
      </c>
      <c r="F147" s="7" t="s">
        <v>145</v>
      </c>
      <c r="G147" s="7" t="s">
        <v>4</v>
      </c>
    </row>
    <row r="148" spans="1:7">
      <c r="A148" s="7" t="s">
        <v>57</v>
      </c>
      <c r="B148" s="7" t="s">
        <v>14</v>
      </c>
      <c r="C148" s="7" t="str">
        <f>VLOOKUP(B148,Indice!$B$1:$C$22,2,0)</f>
        <v>ATLCOUNCIL</v>
      </c>
      <c r="D148" s="7" t="str">
        <f>$A148&amp;"-"&amp;$C148&amp;"-"&amp;TEXT(COUNTIFS($A$2:$A148,$A148,$C$2:$C148,$C148),"000")</f>
        <v>F1-ATLCOUNCIL-082</v>
      </c>
      <c r="E148" s="7" t="s">
        <v>239</v>
      </c>
      <c r="F148" s="7" t="s">
        <v>169</v>
      </c>
      <c r="G148" s="7" t="s">
        <v>4</v>
      </c>
    </row>
    <row r="149" spans="1:7">
      <c r="A149" s="7" t="s">
        <v>57</v>
      </c>
      <c r="B149" s="7" t="s">
        <v>14</v>
      </c>
      <c r="C149" s="7" t="str">
        <f>VLOOKUP(B149,Indice!$B$1:$C$22,2,0)</f>
        <v>ATLCOUNCIL</v>
      </c>
      <c r="D149" s="7" t="str">
        <f>$A149&amp;"-"&amp;$C149&amp;"-"&amp;TEXT(COUNTIFS($A$2:$A149,$A149,$C$2:$C149,$C149),"000")</f>
        <v>F1-ATLCOUNCIL-083</v>
      </c>
      <c r="E149" s="7" t="s">
        <v>240</v>
      </c>
      <c r="F149" s="7" t="s">
        <v>141</v>
      </c>
      <c r="G149" s="7" t="s">
        <v>4</v>
      </c>
    </row>
    <row r="150" spans="1:7">
      <c r="A150" s="7" t="s">
        <v>57</v>
      </c>
      <c r="B150" s="7" t="s">
        <v>14</v>
      </c>
      <c r="C150" s="7" t="str">
        <f>VLOOKUP(B150,Indice!$B$1:$C$22,2,0)</f>
        <v>ATLCOUNCIL</v>
      </c>
      <c r="D150" s="7" t="str">
        <f>$A150&amp;"-"&amp;$C150&amp;"-"&amp;TEXT(COUNTIFS($A$2:$A150,$A150,$C$2:$C150,$C150),"000")</f>
        <v>F1-ATLCOUNCIL-084</v>
      </c>
      <c r="E150" s="7" t="s">
        <v>241</v>
      </c>
      <c r="F150" s="7" t="s">
        <v>143</v>
      </c>
      <c r="G150" s="7" t="s">
        <v>4</v>
      </c>
    </row>
    <row r="151" spans="1:7">
      <c r="A151" s="7" t="s">
        <v>57</v>
      </c>
      <c r="B151" s="7" t="s">
        <v>14</v>
      </c>
      <c r="C151" s="7" t="str">
        <f>VLOOKUP(B151,Indice!$B$1:$C$22,2,0)</f>
        <v>ATLCOUNCIL</v>
      </c>
      <c r="D151" s="7" t="str">
        <f>$A151&amp;"-"&amp;$C151&amp;"-"&amp;TEXT(COUNTIFS($A$2:$A151,$A151,$C$2:$C151,$C151),"000")</f>
        <v>F1-ATLCOUNCIL-085</v>
      </c>
      <c r="E151" s="7" t="s">
        <v>242</v>
      </c>
      <c r="F151" s="7" t="s">
        <v>157</v>
      </c>
      <c r="G151" s="7" t="s">
        <v>4</v>
      </c>
    </row>
    <row r="152" spans="1:7">
      <c r="A152" s="7" t="s">
        <v>57</v>
      </c>
      <c r="B152" s="7" t="s">
        <v>14</v>
      </c>
      <c r="C152" s="7" t="str">
        <f>VLOOKUP(B152,Indice!$B$1:$C$22,2,0)</f>
        <v>ATLCOUNCIL</v>
      </c>
      <c r="D152" s="7" t="str">
        <f>$A152&amp;"-"&amp;$C152&amp;"-"&amp;TEXT(COUNTIFS($A$2:$A152,$A152,$C$2:$C152,$C152),"000")</f>
        <v>F1-ATLCOUNCIL-086</v>
      </c>
      <c r="E152" s="7" t="s">
        <v>243</v>
      </c>
      <c r="F152" s="7" t="s">
        <v>171</v>
      </c>
      <c r="G152" s="7" t="s">
        <v>4</v>
      </c>
    </row>
    <row r="153" spans="1:7">
      <c r="A153" s="7" t="s">
        <v>57</v>
      </c>
      <c r="B153" s="7" t="s">
        <v>14</v>
      </c>
      <c r="C153" s="7" t="str">
        <f>VLOOKUP(B153,Indice!$B$1:$C$22,2,0)</f>
        <v>ATLCOUNCIL</v>
      </c>
      <c r="D153" s="7" t="str">
        <f>$A153&amp;"-"&amp;$C153&amp;"-"&amp;TEXT(COUNTIFS($A$2:$A153,$A153,$C$2:$C153,$C153),"000")</f>
        <v>F1-ATLCOUNCIL-087</v>
      </c>
      <c r="E153" s="7" t="s">
        <v>244</v>
      </c>
      <c r="F153" s="7" t="s">
        <v>169</v>
      </c>
      <c r="G153" s="7" t="s">
        <v>4</v>
      </c>
    </row>
    <row r="154" spans="1:7">
      <c r="A154" s="7" t="s">
        <v>57</v>
      </c>
      <c r="B154" s="7" t="s">
        <v>14</v>
      </c>
      <c r="C154" s="7" t="str">
        <f>VLOOKUP(B154,Indice!$B$1:$C$22,2,0)</f>
        <v>ATLCOUNCIL</v>
      </c>
      <c r="D154" s="7" t="str">
        <f>$A154&amp;"-"&amp;$C154&amp;"-"&amp;TEXT(COUNTIFS($A$2:$A154,$A154,$C$2:$C154,$C154),"000")</f>
        <v>F1-ATLCOUNCIL-088</v>
      </c>
      <c r="E154" s="7" t="s">
        <v>245</v>
      </c>
      <c r="F154" s="7" t="s">
        <v>149</v>
      </c>
      <c r="G154" s="7" t="s">
        <v>4</v>
      </c>
    </row>
    <row r="155" spans="1:7">
      <c r="A155" s="7" t="s">
        <v>57</v>
      </c>
      <c r="B155" s="7" t="s">
        <v>14</v>
      </c>
      <c r="C155" s="7" t="str">
        <f>VLOOKUP(B155,Indice!$B$1:$C$22,2,0)</f>
        <v>ATLCOUNCIL</v>
      </c>
      <c r="D155" s="7" t="str">
        <f>$A155&amp;"-"&amp;$C155&amp;"-"&amp;TEXT(COUNTIFS($A$2:$A155,$A155,$C$2:$C155,$C155),"000")</f>
        <v>F1-ATLCOUNCIL-089</v>
      </c>
      <c r="E155" s="7" t="s">
        <v>246</v>
      </c>
      <c r="F155" s="7" t="s">
        <v>167</v>
      </c>
      <c r="G155" s="7" t="s">
        <v>4</v>
      </c>
    </row>
    <row r="156" spans="1:7">
      <c r="A156" s="7" t="s">
        <v>57</v>
      </c>
      <c r="B156" s="7" t="s">
        <v>14</v>
      </c>
      <c r="C156" s="7" t="str">
        <f>VLOOKUP(B156,Indice!$B$1:$C$22,2,0)</f>
        <v>ATLCOUNCIL</v>
      </c>
      <c r="D156" s="7" t="str">
        <f>$A156&amp;"-"&amp;$C156&amp;"-"&amp;TEXT(COUNTIFS($A$2:$A156,$A156,$C$2:$C156,$C156),"000")</f>
        <v>F1-ATLCOUNCIL-090</v>
      </c>
      <c r="E156" s="7" t="s">
        <v>247</v>
      </c>
      <c r="F156" s="7" t="s">
        <v>165</v>
      </c>
      <c r="G156" s="7" t="s">
        <v>4</v>
      </c>
    </row>
    <row r="157" spans="1:7">
      <c r="A157" s="7" t="s">
        <v>57</v>
      </c>
      <c r="B157" s="7" t="s">
        <v>14</v>
      </c>
      <c r="C157" s="7" t="str">
        <f>VLOOKUP(B157,Indice!$B$1:$C$22,2,0)</f>
        <v>ATLCOUNCIL</v>
      </c>
      <c r="D157" s="7" t="str">
        <f>$A157&amp;"-"&amp;$C157&amp;"-"&amp;TEXT(COUNTIFS($A$2:$A157,$A157,$C$2:$C157,$C157),"000")</f>
        <v>F1-ATLCOUNCIL-091</v>
      </c>
      <c r="E157" s="7" t="s">
        <v>248</v>
      </c>
      <c r="F157" s="7" t="s">
        <v>173</v>
      </c>
      <c r="G157" s="7" t="s">
        <v>4</v>
      </c>
    </row>
    <row r="158" spans="1:7">
      <c r="A158" s="7" t="s">
        <v>57</v>
      </c>
      <c r="B158" s="7" t="s">
        <v>14</v>
      </c>
      <c r="C158" s="7" t="str">
        <f>VLOOKUP(B158,Indice!$B$1:$C$22,2,0)</f>
        <v>ATLCOUNCIL</v>
      </c>
      <c r="D158" s="7" t="str">
        <f>$A158&amp;"-"&amp;$C158&amp;"-"&amp;TEXT(COUNTIFS($A$2:$A158,$A158,$C$2:$C158,$C158),"000")</f>
        <v>F1-ATLCOUNCIL-092</v>
      </c>
      <c r="E158" s="7" t="s">
        <v>249</v>
      </c>
      <c r="F158" s="7" t="s">
        <v>151</v>
      </c>
      <c r="G158" s="7" t="s">
        <v>4</v>
      </c>
    </row>
    <row r="159" spans="1:7">
      <c r="A159" s="7" t="s">
        <v>57</v>
      </c>
      <c r="B159" s="7" t="s">
        <v>14</v>
      </c>
      <c r="C159" s="7" t="str">
        <f>VLOOKUP(B159,Indice!$B$1:$C$22,2,0)</f>
        <v>ATLCOUNCIL</v>
      </c>
      <c r="D159" s="7" t="str">
        <f>$A159&amp;"-"&amp;$C159&amp;"-"&amp;TEXT(COUNTIFS($A$2:$A159,$A159,$C$2:$C159,$C159),"000")</f>
        <v>F1-ATLCOUNCIL-093</v>
      </c>
      <c r="E159" s="7" t="s">
        <v>250</v>
      </c>
      <c r="F159" s="7" t="s">
        <v>147</v>
      </c>
      <c r="G159" s="7" t="s">
        <v>4</v>
      </c>
    </row>
    <row r="160" spans="1:7">
      <c r="A160" s="7" t="s">
        <v>57</v>
      </c>
      <c r="B160" s="7" t="s">
        <v>14</v>
      </c>
      <c r="C160" s="7" t="str">
        <f>VLOOKUP(B160,Indice!$B$1:$C$22,2,0)</f>
        <v>ATLCOUNCIL</v>
      </c>
      <c r="D160" s="7" t="str">
        <f>$A160&amp;"-"&amp;$C160&amp;"-"&amp;TEXT(COUNTIFS($A$2:$A160,$A160,$C$2:$C160,$C160),"000")</f>
        <v>F1-ATLCOUNCIL-094</v>
      </c>
      <c r="E160" s="7" t="s">
        <v>251</v>
      </c>
      <c r="F160" s="7" t="s">
        <v>155</v>
      </c>
      <c r="G160" s="7" t="s">
        <v>4</v>
      </c>
    </row>
    <row r="161" spans="1:7">
      <c r="A161" s="7" t="s">
        <v>57</v>
      </c>
      <c r="B161" s="7" t="s">
        <v>14</v>
      </c>
      <c r="C161" s="7" t="str">
        <f>VLOOKUP(B161,Indice!$B$1:$C$22,2,0)</f>
        <v>ATLCOUNCIL</v>
      </c>
      <c r="D161" s="7" t="str">
        <f>$A161&amp;"-"&amp;$C161&amp;"-"&amp;TEXT(COUNTIFS($A$2:$A161,$A161,$C$2:$C161,$C161),"000")</f>
        <v>F1-ATLCOUNCIL-095</v>
      </c>
      <c r="E161" s="7" t="s">
        <v>252</v>
      </c>
      <c r="F161" s="7" t="s">
        <v>139</v>
      </c>
      <c r="G161" s="7" t="s">
        <v>4</v>
      </c>
    </row>
    <row r="162" spans="1:7">
      <c r="A162" s="7" t="s">
        <v>57</v>
      </c>
      <c r="B162" s="7" t="s">
        <v>14</v>
      </c>
      <c r="C162" s="7" t="str">
        <f>VLOOKUP(B162,Indice!$B$1:$C$22,2,0)</f>
        <v>ATLCOUNCIL</v>
      </c>
      <c r="D162" s="7" t="str">
        <f>$A162&amp;"-"&amp;$C162&amp;"-"&amp;TEXT(COUNTIFS($A$2:$A162,$A162,$C$2:$C162,$C162),"000")</f>
        <v>F1-ATLCOUNCIL-096</v>
      </c>
      <c r="E162" s="7" t="s">
        <v>253</v>
      </c>
      <c r="F162" s="7" t="s">
        <v>143</v>
      </c>
      <c r="G162" s="7" t="s">
        <v>4</v>
      </c>
    </row>
    <row r="163" spans="1:7">
      <c r="A163" s="7" t="s">
        <v>57</v>
      </c>
      <c r="B163" s="7" t="s">
        <v>14</v>
      </c>
      <c r="C163" s="7" t="str">
        <f>VLOOKUP(B163,Indice!$B$1:$C$22,2,0)</f>
        <v>ATLCOUNCIL</v>
      </c>
      <c r="D163" s="7" t="str">
        <f>$A163&amp;"-"&amp;$C163&amp;"-"&amp;TEXT(COUNTIFS($A$2:$A163,$A163,$C$2:$C163,$C163),"000")</f>
        <v>F1-ATLCOUNCIL-097</v>
      </c>
      <c r="E163" s="7" t="s">
        <v>254</v>
      </c>
      <c r="F163" s="7" t="s">
        <v>159</v>
      </c>
      <c r="G163" s="7" t="s">
        <v>4</v>
      </c>
    </row>
    <row r="164" spans="1:7">
      <c r="A164" s="7" t="s">
        <v>57</v>
      </c>
      <c r="B164" s="7" t="s">
        <v>14</v>
      </c>
      <c r="C164" s="7" t="str">
        <f>VLOOKUP(B164,Indice!$B$1:$C$22,2,0)</f>
        <v>ATLCOUNCIL</v>
      </c>
      <c r="D164" s="7" t="str">
        <f>$A164&amp;"-"&amp;$C164&amp;"-"&amp;TEXT(COUNTIFS($A$2:$A164,$A164,$C$2:$C164,$C164),"000")</f>
        <v>F1-ATLCOUNCIL-098</v>
      </c>
      <c r="E164" s="7" t="s">
        <v>255</v>
      </c>
      <c r="F164" s="7" t="s">
        <v>141</v>
      </c>
      <c r="G164" s="7" t="s">
        <v>4</v>
      </c>
    </row>
    <row r="165" spans="1:7">
      <c r="A165" s="7" t="s">
        <v>57</v>
      </c>
      <c r="B165" s="7" t="s">
        <v>14</v>
      </c>
      <c r="C165" s="7" t="str">
        <f>VLOOKUP(B165,Indice!$B$1:$C$22,2,0)</f>
        <v>ATLCOUNCIL</v>
      </c>
      <c r="D165" s="7" t="str">
        <f>$A165&amp;"-"&amp;$C165&amp;"-"&amp;TEXT(COUNTIFS($A$2:$A165,$A165,$C$2:$C165,$C165),"000")</f>
        <v>F1-ATLCOUNCIL-099</v>
      </c>
      <c r="E165" s="7" t="s">
        <v>256</v>
      </c>
      <c r="F165" s="7" t="s">
        <v>177</v>
      </c>
      <c r="G165" s="7" t="s">
        <v>4</v>
      </c>
    </row>
    <row r="166" spans="1:7">
      <c r="A166" s="7" t="s">
        <v>57</v>
      </c>
      <c r="B166" s="7" t="s">
        <v>14</v>
      </c>
      <c r="C166" s="7" t="str">
        <f>VLOOKUP(B166,Indice!$B$1:$C$22,2,0)</f>
        <v>ATLCOUNCIL</v>
      </c>
      <c r="D166" s="7" t="str">
        <f>$A166&amp;"-"&amp;$C166&amp;"-"&amp;TEXT(COUNTIFS($A$2:$A166,$A166,$C$2:$C166,$C166),"000")</f>
        <v>F1-ATLCOUNCIL-100</v>
      </c>
      <c r="E166" s="7" t="s">
        <v>257</v>
      </c>
      <c r="F166" s="7" t="s">
        <v>175</v>
      </c>
      <c r="G166" s="7" t="s">
        <v>4</v>
      </c>
    </row>
    <row r="167" spans="1:7">
      <c r="A167" s="7" t="s">
        <v>57</v>
      </c>
      <c r="B167" s="7" t="s">
        <v>14</v>
      </c>
      <c r="C167" s="7" t="str">
        <f>VLOOKUP(B167,Indice!$B$1:$C$22,2,0)</f>
        <v>ATLCOUNCIL</v>
      </c>
      <c r="D167" s="7" t="str">
        <f>$A167&amp;"-"&amp;$C167&amp;"-"&amp;TEXT(COUNTIFS($A$2:$A167,$A167,$C$2:$C167,$C167),"000")</f>
        <v>F1-ATLCOUNCIL-101</v>
      </c>
      <c r="E167" s="7" t="s">
        <v>258</v>
      </c>
      <c r="F167" s="7" t="s">
        <v>161</v>
      </c>
      <c r="G167" s="7" t="s">
        <v>4</v>
      </c>
    </row>
    <row r="168" spans="1:7">
      <c r="A168" s="7" t="s">
        <v>57</v>
      </c>
      <c r="B168" s="7" t="s">
        <v>14</v>
      </c>
      <c r="C168" s="7" t="str">
        <f>VLOOKUP(B168,Indice!$B$1:$C$22,2,0)</f>
        <v>ATLCOUNCIL</v>
      </c>
      <c r="D168" s="7" t="str">
        <f>$A168&amp;"-"&amp;$C168&amp;"-"&amp;TEXT(COUNTIFS($A$2:$A168,$A168,$C$2:$C168,$C168),"000")</f>
        <v>F1-ATLCOUNCIL-102</v>
      </c>
      <c r="E168" s="7" t="s">
        <v>259</v>
      </c>
      <c r="F168" s="7" t="s">
        <v>163</v>
      </c>
      <c r="G168" s="7" t="s">
        <v>4</v>
      </c>
    </row>
    <row r="169" spans="1:7">
      <c r="A169" s="7" t="s">
        <v>57</v>
      </c>
      <c r="B169" s="7" t="s">
        <v>14</v>
      </c>
      <c r="C169" s="7" t="str">
        <f>VLOOKUP(B169,Indice!$B$1:$C$22,2,0)</f>
        <v>ATLCOUNCIL</v>
      </c>
      <c r="D169" s="7" t="str">
        <f>$A169&amp;"-"&amp;$C169&amp;"-"&amp;TEXT(COUNTIFS($A$2:$A169,$A169,$C$2:$C169,$C169),"000")</f>
        <v>F1-ATLCOUNCIL-103</v>
      </c>
      <c r="E169" s="7" t="s">
        <v>260</v>
      </c>
      <c r="F169" s="7" t="s">
        <v>153</v>
      </c>
      <c r="G169" s="7" t="s">
        <v>4</v>
      </c>
    </row>
    <row r="170" spans="1:7">
      <c r="A170" s="7" t="s">
        <v>57</v>
      </c>
      <c r="B170" s="7" t="s">
        <v>14</v>
      </c>
      <c r="C170" s="7" t="str">
        <f>VLOOKUP(B170,Indice!$B$1:$C$22,2,0)</f>
        <v>ATLCOUNCIL</v>
      </c>
      <c r="D170" s="7" t="str">
        <f>$A170&amp;"-"&amp;$C170&amp;"-"&amp;TEXT(COUNTIFS($A$2:$A170,$A170,$C$2:$C170,$C170),"000")</f>
        <v>F1-ATLCOUNCIL-104</v>
      </c>
      <c r="E170" s="7" t="s">
        <v>261</v>
      </c>
      <c r="F170" s="7" t="s">
        <v>145</v>
      </c>
      <c r="G170" s="7" t="s">
        <v>4</v>
      </c>
    </row>
    <row r="171" spans="1:7">
      <c r="A171" s="7" t="s">
        <v>57</v>
      </c>
      <c r="B171" s="7" t="s">
        <v>14</v>
      </c>
      <c r="C171" s="7" t="str">
        <f>VLOOKUP(B171,Indice!$B$1:$C$22,2,0)</f>
        <v>ATLCOUNCIL</v>
      </c>
      <c r="D171" s="7" t="str">
        <f>$A171&amp;"-"&amp;$C171&amp;"-"&amp;TEXT(COUNTIFS($A$2:$A171,$A171,$C$2:$C171,$C171),"000")</f>
        <v>F1-ATLCOUNCIL-105</v>
      </c>
      <c r="E171" s="7" t="s">
        <v>262</v>
      </c>
      <c r="F171" s="7" t="s">
        <v>137</v>
      </c>
      <c r="G171" s="7" t="s">
        <v>4</v>
      </c>
    </row>
    <row r="172" spans="1:7">
      <c r="A172" s="7" t="s">
        <v>57</v>
      </c>
      <c r="B172" s="7" t="s">
        <v>14</v>
      </c>
      <c r="C172" s="7" t="str">
        <f>VLOOKUP(B172,Indice!$B$1:$C$22,2,0)</f>
        <v>ATLCOUNCIL</v>
      </c>
      <c r="D172" s="7" t="str">
        <f>$A172&amp;"-"&amp;$C172&amp;"-"&amp;TEXT(COUNTIFS($A$2:$A172,$A172,$C$2:$C172,$C172),"000")</f>
        <v>F1-ATLCOUNCIL-106</v>
      </c>
      <c r="E172" s="7" t="s">
        <v>263</v>
      </c>
      <c r="F172" s="7" t="s">
        <v>157</v>
      </c>
      <c r="G172" s="7" t="s">
        <v>4</v>
      </c>
    </row>
    <row r="173" spans="1:7">
      <c r="A173" s="7" t="s">
        <v>57</v>
      </c>
      <c r="B173" s="7" t="s">
        <v>14</v>
      </c>
      <c r="C173" s="7" t="str">
        <f>VLOOKUP(B173,Indice!$B$1:$C$22,2,0)</f>
        <v>ATLCOUNCIL</v>
      </c>
      <c r="D173" s="7" t="str">
        <f>$A173&amp;"-"&amp;$C173&amp;"-"&amp;TEXT(COUNTIFS($A$2:$A173,$A173,$C$2:$C173,$C173),"000")</f>
        <v>F1-ATLCOUNCIL-107</v>
      </c>
      <c r="E173" s="7" t="s">
        <v>264</v>
      </c>
      <c r="F173" s="7" t="s">
        <v>169</v>
      </c>
      <c r="G173" s="7" t="s">
        <v>4</v>
      </c>
    </row>
    <row r="174" spans="1:7">
      <c r="A174" s="7" t="s">
        <v>57</v>
      </c>
      <c r="B174" s="7" t="s">
        <v>14</v>
      </c>
      <c r="C174" s="7" t="str">
        <f>VLOOKUP(B174,Indice!$B$1:$C$22,2,0)</f>
        <v>ATLCOUNCIL</v>
      </c>
      <c r="D174" s="7" t="str">
        <f>$A174&amp;"-"&amp;$C174&amp;"-"&amp;TEXT(COUNTIFS($A$2:$A174,$A174,$C$2:$C174,$C174),"000")</f>
        <v>F1-ATLCOUNCIL-108</v>
      </c>
      <c r="E174" s="7" t="s">
        <v>265</v>
      </c>
      <c r="F174" s="7" t="s">
        <v>151</v>
      </c>
      <c r="G174" s="7" t="s">
        <v>4</v>
      </c>
    </row>
    <row r="175" spans="1:7">
      <c r="A175" s="7" t="s">
        <v>57</v>
      </c>
      <c r="B175" s="7" t="s">
        <v>14</v>
      </c>
      <c r="C175" s="7" t="str">
        <f>VLOOKUP(B175,Indice!$B$1:$C$22,2,0)</f>
        <v>ATLCOUNCIL</v>
      </c>
      <c r="D175" s="7" t="str">
        <f>$A175&amp;"-"&amp;$C175&amp;"-"&amp;TEXT(COUNTIFS($A$2:$A175,$A175,$C$2:$C175,$C175),"000")</f>
        <v>F1-ATLCOUNCIL-109</v>
      </c>
      <c r="E175" s="7" t="s">
        <v>266</v>
      </c>
      <c r="F175" s="7" t="s">
        <v>141</v>
      </c>
      <c r="G175" s="7" t="s">
        <v>4</v>
      </c>
    </row>
    <row r="176" spans="1:7">
      <c r="A176" s="7" t="s">
        <v>57</v>
      </c>
      <c r="B176" s="7" t="s">
        <v>14</v>
      </c>
      <c r="C176" s="7" t="str">
        <f>VLOOKUP(B176,Indice!$B$1:$C$22,2,0)</f>
        <v>ATLCOUNCIL</v>
      </c>
      <c r="D176" s="7" t="str">
        <f>$A176&amp;"-"&amp;$C176&amp;"-"&amp;TEXT(COUNTIFS($A$2:$A176,$A176,$C$2:$C176,$C176),"000")</f>
        <v>F1-ATLCOUNCIL-110</v>
      </c>
      <c r="E176" s="7" t="s">
        <v>267</v>
      </c>
      <c r="F176" s="7" t="s">
        <v>137</v>
      </c>
      <c r="G176" s="7" t="s">
        <v>4</v>
      </c>
    </row>
    <row r="177" spans="1:7">
      <c r="A177" s="7" t="s">
        <v>57</v>
      </c>
      <c r="B177" s="7" t="s">
        <v>14</v>
      </c>
      <c r="C177" s="7" t="str">
        <f>VLOOKUP(B177,Indice!$B$1:$C$22,2,0)</f>
        <v>ATLCOUNCIL</v>
      </c>
      <c r="D177" s="7" t="str">
        <f>$A177&amp;"-"&amp;$C177&amp;"-"&amp;TEXT(COUNTIFS($A$2:$A177,$A177,$C$2:$C177,$C177),"000")</f>
        <v>F1-ATLCOUNCIL-111</v>
      </c>
      <c r="E177" s="7" t="s">
        <v>268</v>
      </c>
      <c r="F177" s="7" t="s">
        <v>175</v>
      </c>
      <c r="G177" s="7" t="s">
        <v>4</v>
      </c>
    </row>
    <row r="178" spans="1:7">
      <c r="A178" s="7" t="s">
        <v>57</v>
      </c>
      <c r="B178" s="7" t="s">
        <v>14</v>
      </c>
      <c r="C178" s="7" t="str">
        <f>VLOOKUP(B178,Indice!$B$1:$C$22,2,0)</f>
        <v>ATLCOUNCIL</v>
      </c>
      <c r="D178" s="7" t="str">
        <f>$A178&amp;"-"&amp;$C178&amp;"-"&amp;TEXT(COUNTIFS($A$2:$A178,$A178,$C$2:$C178,$C178),"000")</f>
        <v>F1-ATLCOUNCIL-112</v>
      </c>
      <c r="E178" s="7" t="s">
        <v>269</v>
      </c>
      <c r="F178" s="7" t="s">
        <v>159</v>
      </c>
      <c r="G178" s="7" t="s">
        <v>4</v>
      </c>
    </row>
    <row r="179" spans="1:7">
      <c r="A179" s="7" t="s">
        <v>57</v>
      </c>
      <c r="B179" s="7" t="s">
        <v>14</v>
      </c>
      <c r="C179" s="7" t="str">
        <f>VLOOKUP(B179,Indice!$B$1:$C$22,2,0)</f>
        <v>ATLCOUNCIL</v>
      </c>
      <c r="D179" s="7" t="str">
        <f>$A179&amp;"-"&amp;$C179&amp;"-"&amp;TEXT(COUNTIFS($A$2:$A179,$A179,$C$2:$C179,$C179),"000")</f>
        <v>F1-ATLCOUNCIL-113</v>
      </c>
      <c r="E179" s="7" t="s">
        <v>270</v>
      </c>
      <c r="F179" s="7" t="s">
        <v>163</v>
      </c>
      <c r="G179" s="7" t="s">
        <v>4</v>
      </c>
    </row>
    <row r="180" spans="1:7">
      <c r="A180" s="7" t="s">
        <v>57</v>
      </c>
      <c r="B180" s="7" t="s">
        <v>14</v>
      </c>
      <c r="C180" s="7" t="str">
        <f>VLOOKUP(B180,Indice!$B$1:$C$22,2,0)</f>
        <v>ATLCOUNCIL</v>
      </c>
      <c r="D180" s="7" t="str">
        <f>$A180&amp;"-"&amp;$C180&amp;"-"&amp;TEXT(COUNTIFS($A$2:$A180,$A180,$C$2:$C180,$C180),"000")</f>
        <v>F1-ATLCOUNCIL-114</v>
      </c>
      <c r="E180" s="7" t="s">
        <v>271</v>
      </c>
      <c r="F180" s="7" t="s">
        <v>149</v>
      </c>
      <c r="G180" s="7" t="s">
        <v>4</v>
      </c>
    </row>
    <row r="181" spans="1:7">
      <c r="A181" s="7" t="s">
        <v>57</v>
      </c>
      <c r="B181" s="7" t="s">
        <v>14</v>
      </c>
      <c r="C181" s="7" t="str">
        <f>VLOOKUP(B181,Indice!$B$1:$C$22,2,0)</f>
        <v>ATLCOUNCIL</v>
      </c>
      <c r="D181" s="7" t="str">
        <f>$A181&amp;"-"&amp;$C181&amp;"-"&amp;TEXT(COUNTIFS($A$2:$A181,$A181,$C$2:$C181,$C181),"000")</f>
        <v>F1-ATLCOUNCIL-115</v>
      </c>
      <c r="E181" s="7" t="s">
        <v>272</v>
      </c>
      <c r="F181" s="7" t="s">
        <v>167</v>
      </c>
      <c r="G181" s="7" t="s">
        <v>4</v>
      </c>
    </row>
    <row r="182" spans="1:7">
      <c r="A182" s="7" t="s">
        <v>57</v>
      </c>
      <c r="B182" s="7" t="s">
        <v>14</v>
      </c>
      <c r="C182" s="7" t="str">
        <f>VLOOKUP(B182,Indice!$B$1:$C$22,2,0)</f>
        <v>ATLCOUNCIL</v>
      </c>
      <c r="D182" s="7" t="str">
        <f>$A182&amp;"-"&amp;$C182&amp;"-"&amp;TEXT(COUNTIFS($A$2:$A182,$A182,$C$2:$C182,$C182),"000")</f>
        <v>F1-ATLCOUNCIL-116</v>
      </c>
      <c r="E182" s="7" t="s">
        <v>273</v>
      </c>
      <c r="F182" s="7" t="s">
        <v>153</v>
      </c>
      <c r="G182" s="7" t="s">
        <v>4</v>
      </c>
    </row>
    <row r="183" spans="1:7">
      <c r="A183" s="7" t="s">
        <v>57</v>
      </c>
      <c r="B183" s="7" t="s">
        <v>14</v>
      </c>
      <c r="C183" s="7" t="str">
        <f>VLOOKUP(B183,Indice!$B$1:$C$22,2,0)</f>
        <v>ATLCOUNCIL</v>
      </c>
      <c r="D183" s="7" t="str">
        <f>$A183&amp;"-"&amp;$C183&amp;"-"&amp;TEXT(COUNTIFS($A$2:$A183,$A183,$C$2:$C183,$C183),"000")</f>
        <v>F1-ATLCOUNCIL-117</v>
      </c>
      <c r="E183" s="7" t="s">
        <v>274</v>
      </c>
      <c r="F183" s="7" t="s">
        <v>165</v>
      </c>
      <c r="G183" s="7" t="s">
        <v>4</v>
      </c>
    </row>
    <row r="184" spans="1:7">
      <c r="A184" s="7" t="s">
        <v>57</v>
      </c>
      <c r="B184" s="7" t="s">
        <v>14</v>
      </c>
      <c r="C184" s="7" t="str">
        <f>VLOOKUP(B184,Indice!$B$1:$C$22,2,0)</f>
        <v>ATLCOUNCIL</v>
      </c>
      <c r="D184" s="7" t="str">
        <f>$A184&amp;"-"&amp;$C184&amp;"-"&amp;TEXT(COUNTIFS($A$2:$A184,$A184,$C$2:$C184,$C184),"000")</f>
        <v>F1-ATLCOUNCIL-118</v>
      </c>
      <c r="E184" s="7" t="s">
        <v>275</v>
      </c>
      <c r="F184" s="7" t="s">
        <v>145</v>
      </c>
      <c r="G184" s="7" t="s">
        <v>4</v>
      </c>
    </row>
    <row r="185" spans="1:7">
      <c r="A185" s="7" t="s">
        <v>57</v>
      </c>
      <c r="B185" s="7" t="s">
        <v>14</v>
      </c>
      <c r="C185" s="7" t="str">
        <f>VLOOKUP(B185,Indice!$B$1:$C$22,2,0)</f>
        <v>ATLCOUNCIL</v>
      </c>
      <c r="D185" s="7" t="str">
        <f>$A185&amp;"-"&amp;$C185&amp;"-"&amp;TEXT(COUNTIFS($A$2:$A185,$A185,$C$2:$C185,$C185),"000")</f>
        <v>F1-ATLCOUNCIL-119</v>
      </c>
      <c r="E185" s="7" t="s">
        <v>276</v>
      </c>
      <c r="F185" s="7" t="s">
        <v>177</v>
      </c>
      <c r="G185" s="7" t="s">
        <v>4</v>
      </c>
    </row>
    <row r="186" spans="1:7">
      <c r="A186" s="7" t="s">
        <v>57</v>
      </c>
      <c r="B186" s="7" t="s">
        <v>14</v>
      </c>
      <c r="C186" s="7" t="str">
        <f>VLOOKUP(B186,Indice!$B$1:$C$22,2,0)</f>
        <v>ATLCOUNCIL</v>
      </c>
      <c r="D186" s="7" t="str">
        <f>$A186&amp;"-"&amp;$C186&amp;"-"&amp;TEXT(COUNTIFS($A$2:$A186,$A186,$C$2:$C186,$C186),"000")</f>
        <v>F1-ATLCOUNCIL-120</v>
      </c>
      <c r="E186" s="7" t="s">
        <v>277</v>
      </c>
      <c r="F186" s="7" t="s">
        <v>173</v>
      </c>
      <c r="G186" s="7" t="s">
        <v>4</v>
      </c>
    </row>
    <row r="187" spans="1:7">
      <c r="A187" s="7" t="s">
        <v>57</v>
      </c>
      <c r="B187" s="7" t="s">
        <v>14</v>
      </c>
      <c r="C187" s="7" t="str">
        <f>VLOOKUP(B187,Indice!$B$1:$C$22,2,0)</f>
        <v>ATLCOUNCIL</v>
      </c>
      <c r="D187" s="7" t="str">
        <f>$A187&amp;"-"&amp;$C187&amp;"-"&amp;TEXT(COUNTIFS($A$2:$A187,$A187,$C$2:$C187,$C187),"000")</f>
        <v>F1-ATLCOUNCIL-121</v>
      </c>
      <c r="E187" s="7" t="s">
        <v>278</v>
      </c>
      <c r="F187" s="7" t="s">
        <v>139</v>
      </c>
      <c r="G187" s="7" t="s">
        <v>4</v>
      </c>
    </row>
    <row r="188" spans="1:7">
      <c r="A188" s="7" t="s">
        <v>57</v>
      </c>
      <c r="B188" s="7" t="s">
        <v>14</v>
      </c>
      <c r="C188" s="7" t="str">
        <f>VLOOKUP(B188,Indice!$B$1:$C$22,2,0)</f>
        <v>ATLCOUNCIL</v>
      </c>
      <c r="D188" s="7" t="str">
        <f>$A188&amp;"-"&amp;$C188&amp;"-"&amp;TEXT(COUNTIFS($A$2:$A188,$A188,$C$2:$C188,$C188),"000")</f>
        <v>F1-ATLCOUNCIL-122</v>
      </c>
      <c r="E188" s="7" t="s">
        <v>279</v>
      </c>
      <c r="F188" s="7" t="s">
        <v>161</v>
      </c>
      <c r="G188" s="7" t="s">
        <v>4</v>
      </c>
    </row>
    <row r="189" spans="1:7">
      <c r="A189" s="7" t="s">
        <v>57</v>
      </c>
      <c r="B189" s="7" t="s">
        <v>14</v>
      </c>
      <c r="C189" s="7" t="str">
        <f>VLOOKUP(B189,Indice!$B$1:$C$22,2,0)</f>
        <v>ATLCOUNCIL</v>
      </c>
      <c r="D189" s="7" t="str">
        <f>$A189&amp;"-"&amp;$C189&amp;"-"&amp;TEXT(COUNTIFS($A$2:$A189,$A189,$C$2:$C189,$C189),"000")</f>
        <v>F1-ATLCOUNCIL-123</v>
      </c>
      <c r="E189" s="7" t="s">
        <v>280</v>
      </c>
      <c r="F189" s="7" t="s">
        <v>157</v>
      </c>
      <c r="G189" s="7" t="s">
        <v>4</v>
      </c>
    </row>
    <row r="190" spans="1:7">
      <c r="A190" s="7" t="s">
        <v>57</v>
      </c>
      <c r="B190" s="7" t="s">
        <v>14</v>
      </c>
      <c r="C190" s="7" t="str">
        <f>VLOOKUP(B190,Indice!$B$1:$C$22,2,0)</f>
        <v>ATLCOUNCIL</v>
      </c>
      <c r="D190" s="7" t="str">
        <f>$A190&amp;"-"&amp;$C190&amp;"-"&amp;TEXT(COUNTIFS($A$2:$A190,$A190,$C$2:$C190,$C190),"000")</f>
        <v>F1-ATLCOUNCIL-124</v>
      </c>
      <c r="E190" s="7" t="s">
        <v>281</v>
      </c>
      <c r="F190" s="7" t="s">
        <v>155</v>
      </c>
      <c r="G190" s="7" t="s">
        <v>4</v>
      </c>
    </row>
    <row r="191" spans="1:7">
      <c r="A191" s="7" t="s">
        <v>57</v>
      </c>
      <c r="B191" s="7" t="s">
        <v>14</v>
      </c>
      <c r="C191" s="7" t="str">
        <f>VLOOKUP(B191,Indice!$B$1:$C$22,2,0)</f>
        <v>ATLCOUNCIL</v>
      </c>
      <c r="D191" s="7" t="str">
        <f>$A191&amp;"-"&amp;$C191&amp;"-"&amp;TEXT(COUNTIFS($A$2:$A191,$A191,$C$2:$C191,$C191),"000")</f>
        <v>F1-ATLCOUNCIL-125</v>
      </c>
      <c r="E191" s="7" t="s">
        <v>282</v>
      </c>
      <c r="F191" s="7" t="s">
        <v>171</v>
      </c>
      <c r="G191" s="7" t="s">
        <v>4</v>
      </c>
    </row>
    <row r="192" spans="1:7">
      <c r="A192" s="7" t="s">
        <v>57</v>
      </c>
      <c r="B192" s="7" t="s">
        <v>14</v>
      </c>
      <c r="C192" s="7" t="str">
        <f>VLOOKUP(B192,Indice!$B$1:$C$22,2,0)</f>
        <v>ATLCOUNCIL</v>
      </c>
      <c r="D192" s="7" t="str">
        <f>$A192&amp;"-"&amp;$C192&amp;"-"&amp;TEXT(COUNTIFS($A$2:$A192,$A192,$C$2:$C192,$C192),"000")</f>
        <v>F1-ATLCOUNCIL-126</v>
      </c>
      <c r="E192" s="7" t="s">
        <v>283</v>
      </c>
      <c r="F192" s="7" t="s">
        <v>147</v>
      </c>
      <c r="G192" s="7" t="s">
        <v>4</v>
      </c>
    </row>
    <row r="193" spans="1:7">
      <c r="A193" s="7" t="s">
        <v>57</v>
      </c>
      <c r="B193" s="7" t="s">
        <v>14</v>
      </c>
      <c r="C193" s="7" t="str">
        <f>VLOOKUP(B193,Indice!$B$1:$C$22,2,0)</f>
        <v>ATLCOUNCIL</v>
      </c>
      <c r="D193" s="7" t="str">
        <f>$A193&amp;"-"&amp;$C193&amp;"-"&amp;TEXT(COUNTIFS($A$2:$A193,$A193,$C$2:$C193,$C193),"000")</f>
        <v>F1-ATLCOUNCIL-127</v>
      </c>
      <c r="E193" s="7" t="s">
        <v>284</v>
      </c>
      <c r="F193" s="7" t="s">
        <v>169</v>
      </c>
      <c r="G193" s="7" t="s">
        <v>4</v>
      </c>
    </row>
    <row r="194" spans="1:7">
      <c r="A194" s="7" t="s">
        <v>57</v>
      </c>
      <c r="B194" s="7" t="s">
        <v>14</v>
      </c>
      <c r="C194" s="7" t="str">
        <f>VLOOKUP(B194,Indice!$B$1:$C$22,2,0)</f>
        <v>ATLCOUNCIL</v>
      </c>
      <c r="D194" s="7" t="str">
        <f>$A194&amp;"-"&amp;$C194&amp;"-"&amp;TEXT(COUNTIFS($A$2:$A194,$A194,$C$2:$C194,$C194),"000")</f>
        <v>F1-ATLCOUNCIL-128</v>
      </c>
      <c r="E194" s="7" t="s">
        <v>285</v>
      </c>
      <c r="F194" s="7" t="s">
        <v>141</v>
      </c>
      <c r="G194" s="7" t="s">
        <v>4</v>
      </c>
    </row>
    <row r="195" spans="1:7">
      <c r="A195" s="7" t="s">
        <v>57</v>
      </c>
      <c r="B195" s="7" t="s">
        <v>14</v>
      </c>
      <c r="C195" s="7" t="str">
        <f>VLOOKUP(B195,Indice!$B$1:$C$22,2,0)</f>
        <v>ATLCOUNCIL</v>
      </c>
      <c r="D195" s="7" t="str">
        <f>$A195&amp;"-"&amp;$C195&amp;"-"&amp;TEXT(COUNTIFS($A$2:$A195,$A195,$C$2:$C195,$C195),"000")</f>
        <v>F1-ATLCOUNCIL-129</v>
      </c>
      <c r="E195" s="7" t="s">
        <v>286</v>
      </c>
      <c r="F195" s="7" t="s">
        <v>175</v>
      </c>
      <c r="G195" s="7" t="s">
        <v>4</v>
      </c>
    </row>
    <row r="196" spans="1:7">
      <c r="A196" s="7" t="s">
        <v>57</v>
      </c>
      <c r="B196" s="7" t="s">
        <v>14</v>
      </c>
      <c r="C196" s="7" t="str">
        <f>VLOOKUP(B196,Indice!$B$1:$C$22,2,0)</f>
        <v>ATLCOUNCIL</v>
      </c>
      <c r="D196" s="7" t="str">
        <f>$A196&amp;"-"&amp;$C196&amp;"-"&amp;TEXT(COUNTIFS($A$2:$A196,$A196,$C$2:$C196,$C196),"000")</f>
        <v>F1-ATLCOUNCIL-130</v>
      </c>
      <c r="E196" s="7" t="s">
        <v>287</v>
      </c>
      <c r="F196" s="7" t="s">
        <v>167</v>
      </c>
      <c r="G196" s="7" t="s">
        <v>4</v>
      </c>
    </row>
    <row r="197" spans="1:7">
      <c r="A197" s="7" t="s">
        <v>57</v>
      </c>
      <c r="B197" s="7" t="s">
        <v>14</v>
      </c>
      <c r="C197" s="7" t="str">
        <f>VLOOKUP(B197,Indice!$B$1:$C$22,2,0)</f>
        <v>ATLCOUNCIL</v>
      </c>
      <c r="D197" s="7" t="str">
        <f>$A197&amp;"-"&amp;$C197&amp;"-"&amp;TEXT(COUNTIFS($A$2:$A197,$A197,$C$2:$C197,$C197),"000")</f>
        <v>F1-ATLCOUNCIL-131</v>
      </c>
      <c r="E197" s="7" t="s">
        <v>288</v>
      </c>
      <c r="F197" s="7" t="s">
        <v>171</v>
      </c>
      <c r="G197" s="7" t="s">
        <v>4</v>
      </c>
    </row>
    <row r="198" spans="1:7">
      <c r="A198" s="7" t="s">
        <v>57</v>
      </c>
      <c r="B198" s="7" t="s">
        <v>14</v>
      </c>
      <c r="C198" s="7" t="str">
        <f>VLOOKUP(B198,Indice!$B$1:$C$22,2,0)</f>
        <v>ATLCOUNCIL</v>
      </c>
      <c r="D198" s="7" t="str">
        <f>$A198&amp;"-"&amp;$C198&amp;"-"&amp;TEXT(COUNTIFS($A$2:$A198,$A198,$C$2:$C198,$C198),"000")</f>
        <v>F1-ATLCOUNCIL-132</v>
      </c>
      <c r="E198" s="7" t="s">
        <v>289</v>
      </c>
      <c r="F198" s="7" t="s">
        <v>159</v>
      </c>
      <c r="G198" s="7" t="s">
        <v>4</v>
      </c>
    </row>
    <row r="199" spans="1:7">
      <c r="A199" s="7" t="s">
        <v>57</v>
      </c>
      <c r="B199" s="7" t="s">
        <v>14</v>
      </c>
      <c r="C199" s="7" t="str">
        <f>VLOOKUP(B199,Indice!$B$1:$C$22,2,0)</f>
        <v>ATLCOUNCIL</v>
      </c>
      <c r="D199" s="7" t="str">
        <f>$A199&amp;"-"&amp;$C199&amp;"-"&amp;TEXT(COUNTIFS($A$2:$A199,$A199,$C$2:$C199,$C199),"000")</f>
        <v>F1-ATLCOUNCIL-133</v>
      </c>
      <c r="E199" s="7" t="s">
        <v>290</v>
      </c>
      <c r="F199" s="7" t="s">
        <v>147</v>
      </c>
      <c r="G199" s="7" t="s">
        <v>4</v>
      </c>
    </row>
    <row r="200" spans="1:7">
      <c r="A200" s="7" t="s">
        <v>57</v>
      </c>
      <c r="B200" s="7" t="s">
        <v>14</v>
      </c>
      <c r="C200" s="7" t="str">
        <f>VLOOKUP(B200,Indice!$B$1:$C$22,2,0)</f>
        <v>ATLCOUNCIL</v>
      </c>
      <c r="D200" s="7" t="str">
        <f>$A200&amp;"-"&amp;$C200&amp;"-"&amp;TEXT(COUNTIFS($A$2:$A200,$A200,$C$2:$C200,$C200),"000")</f>
        <v>F1-ATLCOUNCIL-134</v>
      </c>
      <c r="E200" s="7" t="s">
        <v>291</v>
      </c>
      <c r="F200" s="7" t="s">
        <v>163</v>
      </c>
      <c r="G200" s="7" t="s">
        <v>4</v>
      </c>
    </row>
    <row r="201" spans="1:7">
      <c r="A201" s="7" t="s">
        <v>57</v>
      </c>
      <c r="B201" s="7" t="s">
        <v>14</v>
      </c>
      <c r="C201" s="7" t="str">
        <f>VLOOKUP(B201,Indice!$B$1:$C$22,2,0)</f>
        <v>ATLCOUNCIL</v>
      </c>
      <c r="D201" s="7" t="str">
        <f>$A201&amp;"-"&amp;$C201&amp;"-"&amp;TEXT(COUNTIFS($A$2:$A201,$A201,$C$2:$C201,$C201),"000")</f>
        <v>F1-ATLCOUNCIL-135</v>
      </c>
      <c r="E201" s="7" t="s">
        <v>292</v>
      </c>
      <c r="F201" s="7" t="s">
        <v>145</v>
      </c>
      <c r="G201" s="7" t="s">
        <v>4</v>
      </c>
    </row>
    <row r="202" spans="1:7">
      <c r="A202" s="7" t="s">
        <v>57</v>
      </c>
      <c r="B202" s="7" t="s">
        <v>14</v>
      </c>
      <c r="C202" s="7" t="str">
        <f>VLOOKUP(B202,Indice!$B$1:$C$22,2,0)</f>
        <v>ATLCOUNCIL</v>
      </c>
      <c r="D202" s="7" t="str">
        <f>$A202&amp;"-"&amp;$C202&amp;"-"&amp;TEXT(COUNTIFS($A$2:$A202,$A202,$C$2:$C202,$C202),"000")</f>
        <v>F1-ATLCOUNCIL-136</v>
      </c>
      <c r="E202" s="7" t="s">
        <v>293</v>
      </c>
      <c r="F202" s="7" t="s">
        <v>153</v>
      </c>
      <c r="G202" s="7" t="s">
        <v>4</v>
      </c>
    </row>
    <row r="203" spans="1:7">
      <c r="A203" s="7" t="s">
        <v>57</v>
      </c>
      <c r="B203" s="7" t="s">
        <v>14</v>
      </c>
      <c r="C203" s="7" t="str">
        <f>VLOOKUP(B203,Indice!$B$1:$C$22,2,0)</f>
        <v>ATLCOUNCIL</v>
      </c>
      <c r="D203" s="7" t="str">
        <f>$A203&amp;"-"&amp;$C203&amp;"-"&amp;TEXT(COUNTIFS($A$2:$A203,$A203,$C$2:$C203,$C203),"000")</f>
        <v>F1-ATLCOUNCIL-137</v>
      </c>
      <c r="E203" s="7" t="s">
        <v>294</v>
      </c>
      <c r="F203" s="7" t="s">
        <v>155</v>
      </c>
      <c r="G203" s="7" t="s">
        <v>4</v>
      </c>
    </row>
    <row r="204" spans="1:7">
      <c r="A204" s="7" t="s">
        <v>57</v>
      </c>
      <c r="B204" s="7" t="s">
        <v>14</v>
      </c>
      <c r="C204" s="7" t="str">
        <f>VLOOKUP(B204,Indice!$B$1:$C$22,2,0)</f>
        <v>ATLCOUNCIL</v>
      </c>
      <c r="D204" s="7" t="str">
        <f>$A204&amp;"-"&amp;$C204&amp;"-"&amp;TEXT(COUNTIFS($A$2:$A204,$A204,$C$2:$C204,$C204),"000")</f>
        <v>F1-ATLCOUNCIL-138</v>
      </c>
      <c r="E204" s="7" t="s">
        <v>295</v>
      </c>
      <c r="F204" s="7" t="s">
        <v>165</v>
      </c>
      <c r="G204" s="7" t="s">
        <v>4</v>
      </c>
    </row>
    <row r="205" spans="1:7">
      <c r="A205" s="7" t="s">
        <v>57</v>
      </c>
      <c r="B205" s="7" t="s">
        <v>14</v>
      </c>
      <c r="C205" s="7" t="str">
        <f>VLOOKUP(B205,Indice!$B$1:$C$22,2,0)</f>
        <v>ATLCOUNCIL</v>
      </c>
      <c r="D205" s="7" t="str">
        <f>$A205&amp;"-"&amp;$C205&amp;"-"&amp;TEXT(COUNTIFS($A$2:$A205,$A205,$C$2:$C205,$C205),"000")</f>
        <v>F1-ATLCOUNCIL-139</v>
      </c>
      <c r="E205" s="7" t="s">
        <v>296</v>
      </c>
      <c r="F205" s="7" t="s">
        <v>149</v>
      </c>
      <c r="G205" s="7" t="s">
        <v>4</v>
      </c>
    </row>
    <row r="206" spans="1:7">
      <c r="A206" s="7" t="s">
        <v>57</v>
      </c>
      <c r="B206" s="7" t="s">
        <v>14</v>
      </c>
      <c r="C206" s="7" t="str">
        <f>VLOOKUP(B206,Indice!$B$1:$C$22,2,0)</f>
        <v>ATLCOUNCIL</v>
      </c>
      <c r="D206" s="7" t="str">
        <f>$A206&amp;"-"&amp;$C206&amp;"-"&amp;TEXT(COUNTIFS($A$2:$A206,$A206,$C$2:$C206,$C206),"000")</f>
        <v>F1-ATLCOUNCIL-140</v>
      </c>
      <c r="E206" s="7" t="s">
        <v>297</v>
      </c>
      <c r="F206" s="7" t="s">
        <v>151</v>
      </c>
      <c r="G206" s="7" t="s">
        <v>4</v>
      </c>
    </row>
    <row r="207" spans="1:7">
      <c r="A207" s="7" t="s">
        <v>57</v>
      </c>
      <c r="B207" s="7" t="s">
        <v>14</v>
      </c>
      <c r="C207" s="7" t="str">
        <f>VLOOKUP(B207,Indice!$B$1:$C$22,2,0)</f>
        <v>ATLCOUNCIL</v>
      </c>
      <c r="D207" s="7" t="str">
        <f>$A207&amp;"-"&amp;$C207&amp;"-"&amp;TEXT(COUNTIFS($A$2:$A207,$A207,$C$2:$C207,$C207),"000")</f>
        <v>F1-ATLCOUNCIL-141</v>
      </c>
      <c r="E207" s="7" t="s">
        <v>298</v>
      </c>
      <c r="F207" s="7" t="s">
        <v>139</v>
      </c>
      <c r="G207" s="7" t="s">
        <v>4</v>
      </c>
    </row>
    <row r="208" spans="1:7">
      <c r="A208" s="7" t="s">
        <v>57</v>
      </c>
      <c r="B208" s="7" t="s">
        <v>14</v>
      </c>
      <c r="C208" s="7" t="str">
        <f>VLOOKUP(B208,Indice!$B$1:$C$22,2,0)</f>
        <v>ATLCOUNCIL</v>
      </c>
      <c r="D208" s="7" t="str">
        <f>$A208&amp;"-"&amp;$C208&amp;"-"&amp;TEXT(COUNTIFS($A$2:$A208,$A208,$C$2:$C208,$C208),"000")</f>
        <v>F1-ATLCOUNCIL-142</v>
      </c>
      <c r="E208" s="7" t="s">
        <v>299</v>
      </c>
      <c r="F208" s="7" t="s">
        <v>137</v>
      </c>
      <c r="G208" s="7" t="s">
        <v>4</v>
      </c>
    </row>
    <row r="209" spans="1:7">
      <c r="A209" s="7" t="s">
        <v>57</v>
      </c>
      <c r="B209" s="7" t="s">
        <v>14</v>
      </c>
      <c r="C209" s="7" t="str">
        <f>VLOOKUP(B209,Indice!$B$1:$C$22,2,0)</f>
        <v>ATLCOUNCIL</v>
      </c>
      <c r="D209" s="7" t="str">
        <f>$A209&amp;"-"&amp;$C209&amp;"-"&amp;TEXT(COUNTIFS($A$2:$A209,$A209,$C$2:$C209,$C209),"000")</f>
        <v>F1-ATLCOUNCIL-143</v>
      </c>
      <c r="E209" s="7" t="s">
        <v>300</v>
      </c>
      <c r="F209" s="7" t="s">
        <v>161</v>
      </c>
      <c r="G209" s="7" t="s">
        <v>4</v>
      </c>
    </row>
    <row r="210" spans="1:7">
      <c r="A210" s="7" t="s">
        <v>57</v>
      </c>
      <c r="B210" s="7" t="s">
        <v>14</v>
      </c>
      <c r="C210" s="7" t="str">
        <f>VLOOKUP(B210,Indice!$B$1:$C$22,2,0)</f>
        <v>ATLCOUNCIL</v>
      </c>
      <c r="D210" s="7" t="str">
        <f>$A210&amp;"-"&amp;$C210&amp;"-"&amp;TEXT(COUNTIFS($A$2:$A210,$A210,$C$2:$C210,$C210),"000")</f>
        <v>F1-ATLCOUNCIL-144</v>
      </c>
      <c r="E210" s="7" t="s">
        <v>301</v>
      </c>
      <c r="F210" s="7" t="s">
        <v>157</v>
      </c>
      <c r="G210" s="7" t="s">
        <v>4</v>
      </c>
    </row>
    <row r="211" spans="1:7">
      <c r="A211" s="7" t="s">
        <v>57</v>
      </c>
      <c r="B211" s="7" t="s">
        <v>14</v>
      </c>
      <c r="C211" s="7" t="str">
        <f>VLOOKUP(B211,Indice!$B$1:$C$22,2,0)</f>
        <v>ATLCOUNCIL</v>
      </c>
      <c r="D211" s="7" t="str">
        <f>$A211&amp;"-"&amp;$C211&amp;"-"&amp;TEXT(COUNTIFS($A$2:$A211,$A211,$C$2:$C211,$C211),"000")</f>
        <v>F1-ATLCOUNCIL-145</v>
      </c>
      <c r="E211" s="7" t="s">
        <v>302</v>
      </c>
      <c r="F211" s="7" t="s">
        <v>173</v>
      </c>
      <c r="G211" s="7" t="s">
        <v>4</v>
      </c>
    </row>
    <row r="212" spans="1:7">
      <c r="A212" s="7" t="s">
        <v>57</v>
      </c>
      <c r="B212" s="7" t="s">
        <v>14</v>
      </c>
      <c r="C212" s="7" t="str">
        <f>VLOOKUP(B212,Indice!$B$1:$C$22,2,0)</f>
        <v>ATLCOUNCIL</v>
      </c>
      <c r="D212" s="7" t="str">
        <f>$A212&amp;"-"&amp;$C212&amp;"-"&amp;TEXT(COUNTIFS($A$2:$A212,$A212,$C$2:$C212,$C212),"000")</f>
        <v>F1-ATLCOUNCIL-146</v>
      </c>
      <c r="E212" s="7" t="s">
        <v>303</v>
      </c>
      <c r="F212" s="7" t="s">
        <v>177</v>
      </c>
      <c r="G212" s="7" t="s">
        <v>4</v>
      </c>
    </row>
    <row r="213" spans="1:7">
      <c r="A213" s="7" t="s">
        <v>57</v>
      </c>
      <c r="B213" s="7" t="s">
        <v>14</v>
      </c>
      <c r="C213" s="7" t="str">
        <f>VLOOKUP(B213,Indice!$B$1:$C$22,2,0)</f>
        <v>ATLCOUNCIL</v>
      </c>
      <c r="D213" s="7" t="str">
        <f>$A213&amp;"-"&amp;$C213&amp;"-"&amp;TEXT(COUNTIFS($A$2:$A213,$A213,$C$2:$C213,$C213),"000")</f>
        <v>F1-ATLCOUNCIL-147</v>
      </c>
      <c r="E213" s="7" t="s">
        <v>304</v>
      </c>
      <c r="F213" s="7" t="s">
        <v>171</v>
      </c>
      <c r="G213" s="7" t="s">
        <v>4</v>
      </c>
    </row>
    <row r="214" spans="1:7">
      <c r="A214" s="7" t="s">
        <v>57</v>
      </c>
      <c r="B214" s="7" t="s">
        <v>14</v>
      </c>
      <c r="C214" s="7" t="str">
        <f>VLOOKUP(B214,Indice!$B$1:$C$22,2,0)</f>
        <v>ATLCOUNCIL</v>
      </c>
      <c r="D214" s="7" t="str">
        <f>$A214&amp;"-"&amp;$C214&amp;"-"&amp;TEXT(COUNTIFS($A$2:$A214,$A214,$C$2:$C214,$C214),"000")</f>
        <v>F1-ATLCOUNCIL-148</v>
      </c>
      <c r="E214" s="7" t="s">
        <v>305</v>
      </c>
      <c r="F214" s="7" t="s">
        <v>163</v>
      </c>
      <c r="G214" s="7" t="s">
        <v>4</v>
      </c>
    </row>
    <row r="215" spans="1:7">
      <c r="A215" s="7" t="s">
        <v>57</v>
      </c>
      <c r="B215" s="7" t="s">
        <v>14</v>
      </c>
      <c r="C215" s="7" t="str">
        <f>VLOOKUP(B215,Indice!$B$1:$C$22,2,0)</f>
        <v>ATLCOUNCIL</v>
      </c>
      <c r="D215" s="7" t="str">
        <f>$A215&amp;"-"&amp;$C215&amp;"-"&amp;TEXT(COUNTIFS($A$2:$A215,$A215,$C$2:$C215,$C215),"000")</f>
        <v>F1-ATLCOUNCIL-149</v>
      </c>
      <c r="E215" s="7" t="s">
        <v>306</v>
      </c>
      <c r="F215" s="7" t="s">
        <v>177</v>
      </c>
      <c r="G215" s="7" t="s">
        <v>4</v>
      </c>
    </row>
    <row r="216" spans="1:7">
      <c r="A216" s="7" t="s">
        <v>57</v>
      </c>
      <c r="B216" s="7" t="s">
        <v>14</v>
      </c>
      <c r="C216" s="7" t="str">
        <f>VLOOKUP(B216,Indice!$B$1:$C$22,2,0)</f>
        <v>ATLCOUNCIL</v>
      </c>
      <c r="D216" s="7" t="str">
        <f>$A216&amp;"-"&amp;$C216&amp;"-"&amp;TEXT(COUNTIFS($A$2:$A216,$A216,$C$2:$C216,$C216),"000")</f>
        <v>F1-ATLCOUNCIL-150</v>
      </c>
      <c r="E216" s="7" t="s">
        <v>307</v>
      </c>
      <c r="F216" s="7" t="s">
        <v>153</v>
      </c>
      <c r="G216" s="7" t="s">
        <v>4</v>
      </c>
    </row>
    <row r="217" spans="1:7">
      <c r="A217" s="7" t="s">
        <v>57</v>
      </c>
      <c r="B217" s="7" t="s">
        <v>14</v>
      </c>
      <c r="C217" s="7" t="str">
        <f>VLOOKUP(B217,Indice!$B$1:$C$22,2,0)</f>
        <v>ATLCOUNCIL</v>
      </c>
      <c r="D217" s="7" t="str">
        <f>$A217&amp;"-"&amp;$C217&amp;"-"&amp;TEXT(COUNTIFS($A$2:$A217,$A217,$C$2:$C217,$C217),"000")</f>
        <v>F1-ATLCOUNCIL-151</v>
      </c>
      <c r="E217" s="7" t="s">
        <v>308</v>
      </c>
      <c r="F217" s="7" t="s">
        <v>155</v>
      </c>
      <c r="G217" s="7" t="s">
        <v>4</v>
      </c>
    </row>
    <row r="218" spans="1:7">
      <c r="A218" s="7" t="s">
        <v>57</v>
      </c>
      <c r="B218" s="7" t="s">
        <v>14</v>
      </c>
      <c r="C218" s="7" t="str">
        <f>VLOOKUP(B218,Indice!$B$1:$C$22,2,0)</f>
        <v>ATLCOUNCIL</v>
      </c>
      <c r="D218" s="7" t="str">
        <f>$A218&amp;"-"&amp;$C218&amp;"-"&amp;TEXT(COUNTIFS($A$2:$A218,$A218,$C$2:$C218,$C218),"000")</f>
        <v>F1-ATLCOUNCIL-152</v>
      </c>
      <c r="E218" s="7" t="s">
        <v>309</v>
      </c>
      <c r="F218" s="7" t="s">
        <v>147</v>
      </c>
      <c r="G218" s="7" t="s">
        <v>4</v>
      </c>
    </row>
    <row r="219" spans="1:7">
      <c r="A219" s="7" t="s">
        <v>57</v>
      </c>
      <c r="B219" s="7" t="s">
        <v>14</v>
      </c>
      <c r="C219" s="7" t="str">
        <f>VLOOKUP(B219,Indice!$B$1:$C$22,2,0)</f>
        <v>ATLCOUNCIL</v>
      </c>
      <c r="D219" s="7" t="str">
        <f>$A219&amp;"-"&amp;$C219&amp;"-"&amp;TEXT(COUNTIFS($A$2:$A219,$A219,$C$2:$C219,$C219),"000")</f>
        <v>F1-ATLCOUNCIL-153</v>
      </c>
      <c r="E219" s="7" t="s">
        <v>310</v>
      </c>
      <c r="F219" s="7" t="s">
        <v>173</v>
      </c>
      <c r="G219" s="7" t="s">
        <v>4</v>
      </c>
    </row>
    <row r="220" spans="1:7">
      <c r="A220" s="7" t="s">
        <v>57</v>
      </c>
      <c r="B220" s="7" t="s">
        <v>14</v>
      </c>
      <c r="C220" s="7" t="str">
        <f>VLOOKUP(B220,Indice!$B$1:$C$22,2,0)</f>
        <v>ATLCOUNCIL</v>
      </c>
      <c r="D220" s="7" t="str">
        <f>$A220&amp;"-"&amp;$C220&amp;"-"&amp;TEXT(COUNTIFS($A$2:$A220,$A220,$C$2:$C220,$C220),"000")</f>
        <v>F1-ATLCOUNCIL-154</v>
      </c>
      <c r="E220" s="7" t="s">
        <v>311</v>
      </c>
      <c r="F220" s="7" t="s">
        <v>165</v>
      </c>
      <c r="G220" s="7" t="s">
        <v>4</v>
      </c>
    </row>
    <row r="221" spans="1:7">
      <c r="A221" s="7" t="s">
        <v>57</v>
      </c>
      <c r="B221" s="7" t="s">
        <v>14</v>
      </c>
      <c r="C221" s="7" t="str">
        <f>VLOOKUP(B221,Indice!$B$1:$C$22,2,0)</f>
        <v>ATLCOUNCIL</v>
      </c>
      <c r="D221" s="7" t="str">
        <f>$A221&amp;"-"&amp;$C221&amp;"-"&amp;TEXT(COUNTIFS($A$2:$A221,$A221,$C$2:$C221,$C221),"000")</f>
        <v>F1-ATLCOUNCIL-155</v>
      </c>
      <c r="E221" s="7" t="s">
        <v>312</v>
      </c>
      <c r="F221" s="7" t="s">
        <v>141</v>
      </c>
      <c r="G221" s="7" t="s">
        <v>4</v>
      </c>
    </row>
    <row r="222" spans="1:7">
      <c r="A222" s="7" t="s">
        <v>57</v>
      </c>
      <c r="B222" s="7" t="s">
        <v>14</v>
      </c>
      <c r="C222" s="7" t="str">
        <f>VLOOKUP(B222,Indice!$B$1:$C$22,2,0)</f>
        <v>ATLCOUNCIL</v>
      </c>
      <c r="D222" s="7" t="str">
        <f>$A222&amp;"-"&amp;$C222&amp;"-"&amp;TEXT(COUNTIFS($A$2:$A222,$A222,$C$2:$C222,$C222),"000")</f>
        <v>F1-ATLCOUNCIL-156</v>
      </c>
      <c r="E222" s="7" t="s">
        <v>313</v>
      </c>
      <c r="F222" s="7" t="s">
        <v>145</v>
      </c>
      <c r="G222" s="7" t="s">
        <v>4</v>
      </c>
    </row>
    <row r="223" spans="1:7">
      <c r="A223" s="7" t="s">
        <v>57</v>
      </c>
      <c r="B223" s="7" t="s">
        <v>14</v>
      </c>
      <c r="C223" s="7" t="str">
        <f>VLOOKUP(B223,Indice!$B$1:$C$22,2,0)</f>
        <v>ATLCOUNCIL</v>
      </c>
      <c r="D223" s="7" t="str">
        <f>$A223&amp;"-"&amp;$C223&amp;"-"&amp;TEXT(COUNTIFS($A$2:$A223,$A223,$C$2:$C223,$C223),"000")</f>
        <v>F1-ATLCOUNCIL-157</v>
      </c>
      <c r="E223" s="7" t="s">
        <v>314</v>
      </c>
      <c r="F223" s="7" t="s">
        <v>137</v>
      </c>
      <c r="G223" s="7" t="s">
        <v>4</v>
      </c>
    </row>
    <row r="224" spans="1:7">
      <c r="A224" s="7" t="s">
        <v>57</v>
      </c>
      <c r="B224" s="7" t="s">
        <v>14</v>
      </c>
      <c r="C224" s="7" t="str">
        <f>VLOOKUP(B224,Indice!$B$1:$C$22,2,0)</f>
        <v>ATLCOUNCIL</v>
      </c>
      <c r="D224" s="7" t="str">
        <f>$A224&amp;"-"&amp;$C224&amp;"-"&amp;TEXT(COUNTIFS($A$2:$A224,$A224,$C$2:$C224,$C224),"000")</f>
        <v>F1-ATLCOUNCIL-158</v>
      </c>
      <c r="E224" s="7" t="s">
        <v>315</v>
      </c>
      <c r="F224" s="7" t="s">
        <v>167</v>
      </c>
      <c r="G224" s="7" t="s">
        <v>4</v>
      </c>
    </row>
    <row r="225" spans="1:7">
      <c r="A225" s="7" t="s">
        <v>57</v>
      </c>
      <c r="B225" s="7" t="s">
        <v>14</v>
      </c>
      <c r="C225" s="7" t="str">
        <f>VLOOKUP(B225,Indice!$B$1:$C$22,2,0)</f>
        <v>ATLCOUNCIL</v>
      </c>
      <c r="D225" s="7" t="str">
        <f>$A225&amp;"-"&amp;$C225&amp;"-"&amp;TEXT(COUNTIFS($A$2:$A225,$A225,$C$2:$C225,$C225),"000")</f>
        <v>F1-ATLCOUNCIL-159</v>
      </c>
      <c r="E225" s="7" t="s">
        <v>316</v>
      </c>
      <c r="F225" s="7" t="s">
        <v>161</v>
      </c>
      <c r="G225" s="7" t="s">
        <v>4</v>
      </c>
    </row>
    <row r="226" spans="1:7">
      <c r="A226" s="7" t="s">
        <v>57</v>
      </c>
      <c r="B226" s="7" t="s">
        <v>14</v>
      </c>
      <c r="C226" s="7" t="str">
        <f>VLOOKUP(B226,Indice!$B$1:$C$22,2,0)</f>
        <v>ATLCOUNCIL</v>
      </c>
      <c r="D226" s="7" t="str">
        <f>$A226&amp;"-"&amp;$C226&amp;"-"&amp;TEXT(COUNTIFS($A$2:$A226,$A226,$C$2:$C226,$C226),"000")</f>
        <v>F1-ATLCOUNCIL-160</v>
      </c>
      <c r="E226" s="7" t="s">
        <v>317</v>
      </c>
      <c r="F226" s="7" t="s">
        <v>157</v>
      </c>
      <c r="G226" s="7" t="s">
        <v>4</v>
      </c>
    </row>
    <row r="227" spans="1:7">
      <c r="A227" s="7" t="s">
        <v>57</v>
      </c>
      <c r="B227" s="7" t="s">
        <v>14</v>
      </c>
      <c r="C227" s="7" t="str">
        <f>VLOOKUP(B227,Indice!$B$1:$C$22,2,0)</f>
        <v>ATLCOUNCIL</v>
      </c>
      <c r="D227" s="7" t="str">
        <f>$A227&amp;"-"&amp;$C227&amp;"-"&amp;TEXT(COUNTIFS($A$2:$A227,$A227,$C$2:$C227,$C227),"000")</f>
        <v>F1-ATLCOUNCIL-161</v>
      </c>
      <c r="E227" s="7" t="s">
        <v>318</v>
      </c>
      <c r="F227" s="7" t="s">
        <v>149</v>
      </c>
      <c r="G227" s="7" t="s">
        <v>4</v>
      </c>
    </row>
    <row r="228" spans="1:7">
      <c r="A228" s="7" t="s">
        <v>57</v>
      </c>
      <c r="B228" s="7" t="s">
        <v>14</v>
      </c>
      <c r="C228" s="7" t="str">
        <f>VLOOKUP(B228,Indice!$B$1:$C$22,2,0)</f>
        <v>ATLCOUNCIL</v>
      </c>
      <c r="D228" s="7" t="str">
        <f>$A228&amp;"-"&amp;$C228&amp;"-"&amp;TEXT(COUNTIFS($A$2:$A228,$A228,$C$2:$C228,$C228),"000")</f>
        <v>F1-ATLCOUNCIL-162</v>
      </c>
      <c r="E228" s="7" t="s">
        <v>319</v>
      </c>
      <c r="F228" s="7" t="s">
        <v>151</v>
      </c>
      <c r="G228" s="7" t="s">
        <v>4</v>
      </c>
    </row>
    <row r="229" spans="1:7">
      <c r="A229" s="7" t="s">
        <v>57</v>
      </c>
      <c r="B229" s="7" t="s">
        <v>14</v>
      </c>
      <c r="C229" s="7" t="str">
        <f>VLOOKUP(B229,Indice!$B$1:$C$22,2,0)</f>
        <v>ATLCOUNCIL</v>
      </c>
      <c r="D229" s="7" t="str">
        <f>$A229&amp;"-"&amp;$C229&amp;"-"&amp;TEXT(COUNTIFS($A$2:$A229,$A229,$C$2:$C229,$C229),"000")</f>
        <v>F1-ATLCOUNCIL-163</v>
      </c>
      <c r="E229" s="7" t="s">
        <v>320</v>
      </c>
      <c r="F229" s="7" t="s">
        <v>139</v>
      </c>
      <c r="G229" s="7" t="s">
        <v>4</v>
      </c>
    </row>
    <row r="230" spans="1:7">
      <c r="A230" s="7" t="s">
        <v>57</v>
      </c>
      <c r="B230" s="7" t="s">
        <v>14</v>
      </c>
      <c r="C230" s="7" t="str">
        <f>VLOOKUP(B230,Indice!$B$1:$C$22,2,0)</f>
        <v>ATLCOUNCIL</v>
      </c>
      <c r="D230" s="7" t="str">
        <f>$A230&amp;"-"&amp;$C230&amp;"-"&amp;TEXT(COUNTIFS($A$2:$A230,$A230,$C$2:$C230,$C230),"000")</f>
        <v>F1-ATLCOUNCIL-164</v>
      </c>
      <c r="E230" s="7" t="s">
        <v>321</v>
      </c>
      <c r="F230" s="7" t="s">
        <v>175</v>
      </c>
      <c r="G230" s="7" t="s">
        <v>4</v>
      </c>
    </row>
    <row r="231" spans="1:7">
      <c r="A231" s="7" t="s">
        <v>57</v>
      </c>
      <c r="B231" s="7" t="s">
        <v>14</v>
      </c>
      <c r="C231" s="7" t="str">
        <f>VLOOKUP(B231,Indice!$B$1:$C$22,2,0)</f>
        <v>ATLCOUNCIL</v>
      </c>
      <c r="D231" s="7" t="str">
        <f>$A231&amp;"-"&amp;$C231&amp;"-"&amp;TEXT(COUNTIFS($A$2:$A231,$A231,$C$2:$C231,$C231),"000")</f>
        <v>F1-ATLCOUNCIL-165</v>
      </c>
      <c r="E231" s="7" t="s">
        <v>322</v>
      </c>
      <c r="F231" s="7" t="s">
        <v>169</v>
      </c>
      <c r="G231" s="7" t="s">
        <v>4</v>
      </c>
    </row>
    <row r="232" spans="1:7">
      <c r="A232" s="7" t="s">
        <v>57</v>
      </c>
      <c r="B232" s="7" t="s">
        <v>14</v>
      </c>
      <c r="C232" s="7" t="str">
        <f>VLOOKUP(B232,Indice!$B$1:$C$22,2,0)</f>
        <v>ATLCOUNCIL</v>
      </c>
      <c r="D232" s="7" t="str">
        <f>$A232&amp;"-"&amp;$C232&amp;"-"&amp;TEXT(COUNTIFS($A$2:$A232,$A232,$C$2:$C232,$C232),"000")</f>
        <v>F1-ATLCOUNCIL-166</v>
      </c>
      <c r="E232" s="7" t="s">
        <v>323</v>
      </c>
      <c r="F232" s="7" t="s">
        <v>163</v>
      </c>
      <c r="G232" s="7" t="s">
        <v>4</v>
      </c>
    </row>
    <row r="233" spans="1:7">
      <c r="A233" s="7" t="s">
        <v>57</v>
      </c>
      <c r="B233" s="7" t="s">
        <v>14</v>
      </c>
      <c r="C233" s="7" t="str">
        <f>VLOOKUP(B233,Indice!$B$1:$C$22,2,0)</f>
        <v>ATLCOUNCIL</v>
      </c>
      <c r="D233" s="7" t="str">
        <f>$A233&amp;"-"&amp;$C233&amp;"-"&amp;TEXT(COUNTIFS($A$2:$A233,$A233,$C$2:$C233,$C233),"000")</f>
        <v>F1-ATLCOUNCIL-167</v>
      </c>
      <c r="E233" s="7" t="s">
        <v>324</v>
      </c>
      <c r="F233" s="7" t="s">
        <v>155</v>
      </c>
      <c r="G233" s="7" t="s">
        <v>4</v>
      </c>
    </row>
    <row r="234" spans="1:7">
      <c r="A234" s="7" t="s">
        <v>57</v>
      </c>
      <c r="B234" s="7" t="s">
        <v>14</v>
      </c>
      <c r="C234" s="7" t="str">
        <f>VLOOKUP(B234,Indice!$B$1:$C$22,2,0)</f>
        <v>ATLCOUNCIL</v>
      </c>
      <c r="D234" s="7" t="str">
        <f>$A234&amp;"-"&amp;$C234&amp;"-"&amp;TEXT(COUNTIFS($A$2:$A234,$A234,$C$2:$C234,$C234),"000")</f>
        <v>F1-ATLCOUNCIL-168</v>
      </c>
      <c r="E234" s="7" t="s">
        <v>325</v>
      </c>
      <c r="F234" s="7" t="s">
        <v>137</v>
      </c>
      <c r="G234" s="7" t="s">
        <v>4</v>
      </c>
    </row>
    <row r="235" spans="1:7">
      <c r="A235" s="7" t="s">
        <v>57</v>
      </c>
      <c r="B235" s="7" t="s">
        <v>14</v>
      </c>
      <c r="C235" s="7" t="str">
        <f>VLOOKUP(B235,Indice!$B$1:$C$22,2,0)</f>
        <v>ATLCOUNCIL</v>
      </c>
      <c r="D235" s="7" t="str">
        <f>$A235&amp;"-"&amp;$C235&amp;"-"&amp;TEXT(COUNTIFS($A$2:$A235,$A235,$C$2:$C235,$C235),"000")</f>
        <v>F1-ATLCOUNCIL-169</v>
      </c>
      <c r="E235" s="7" t="s">
        <v>326</v>
      </c>
      <c r="F235" s="7" t="s">
        <v>177</v>
      </c>
      <c r="G235" s="7" t="s">
        <v>4</v>
      </c>
    </row>
    <row r="236" spans="1:7">
      <c r="A236" s="7" t="s">
        <v>57</v>
      </c>
      <c r="B236" s="7" t="s">
        <v>14</v>
      </c>
      <c r="C236" s="7" t="str">
        <f>VLOOKUP(B236,Indice!$B$1:$C$22,2,0)</f>
        <v>ATLCOUNCIL</v>
      </c>
      <c r="D236" s="7" t="str">
        <f>$A236&amp;"-"&amp;$C236&amp;"-"&amp;TEXT(COUNTIFS($A$2:$A236,$A236,$C$2:$C236,$C236),"000")</f>
        <v>F1-ATLCOUNCIL-170</v>
      </c>
      <c r="E236" s="7" t="s">
        <v>327</v>
      </c>
      <c r="F236" s="7" t="s">
        <v>173</v>
      </c>
      <c r="G236" s="7" t="s">
        <v>4</v>
      </c>
    </row>
    <row r="237" spans="1:7">
      <c r="A237" s="7" t="s">
        <v>57</v>
      </c>
      <c r="B237" s="7" t="s">
        <v>14</v>
      </c>
      <c r="C237" s="7" t="str">
        <f>VLOOKUP(B237,Indice!$B$1:$C$22,2,0)</f>
        <v>ATLCOUNCIL</v>
      </c>
      <c r="D237" s="7" t="str">
        <f>$A237&amp;"-"&amp;$C237&amp;"-"&amp;TEXT(COUNTIFS($A$2:$A237,$A237,$C$2:$C237,$C237),"000")</f>
        <v>F1-ATLCOUNCIL-171</v>
      </c>
      <c r="E237" s="7" t="s">
        <v>328</v>
      </c>
      <c r="F237" s="7" t="s">
        <v>161</v>
      </c>
      <c r="G237" s="7" t="s">
        <v>4</v>
      </c>
    </row>
    <row r="238" spans="1:7">
      <c r="A238" s="7" t="s">
        <v>57</v>
      </c>
      <c r="B238" s="7" t="s">
        <v>14</v>
      </c>
      <c r="C238" s="7" t="str">
        <f>VLOOKUP(B238,Indice!$B$1:$C$22,2,0)</f>
        <v>ATLCOUNCIL</v>
      </c>
      <c r="D238" s="7" t="str">
        <f>$A238&amp;"-"&amp;$C238&amp;"-"&amp;TEXT(COUNTIFS($A$2:$A238,$A238,$C$2:$C238,$C238),"000")</f>
        <v>F1-ATLCOUNCIL-172</v>
      </c>
      <c r="E238" s="7" t="s">
        <v>329</v>
      </c>
      <c r="F238" s="7" t="s">
        <v>147</v>
      </c>
      <c r="G238" s="7" t="s">
        <v>4</v>
      </c>
    </row>
    <row r="239" spans="1:7">
      <c r="A239" s="7" t="s">
        <v>57</v>
      </c>
      <c r="B239" s="7" t="s">
        <v>14</v>
      </c>
      <c r="C239" s="7" t="str">
        <f>VLOOKUP(B239,Indice!$B$1:$C$22,2,0)</f>
        <v>ATLCOUNCIL</v>
      </c>
      <c r="D239" s="7" t="str">
        <f>$A239&amp;"-"&amp;$C239&amp;"-"&amp;TEXT(COUNTIFS($A$2:$A239,$A239,$C$2:$C239,$C239),"000")</f>
        <v>F1-ATLCOUNCIL-173</v>
      </c>
      <c r="E239" s="7" t="s">
        <v>330</v>
      </c>
      <c r="F239" s="7" t="s">
        <v>139</v>
      </c>
      <c r="G239" s="7" t="s">
        <v>4</v>
      </c>
    </row>
    <row r="240" spans="1:7">
      <c r="A240" s="7" t="s">
        <v>57</v>
      </c>
      <c r="B240" s="7" t="s">
        <v>14</v>
      </c>
      <c r="C240" s="7" t="str">
        <f>VLOOKUP(B240,Indice!$B$1:$C$22,2,0)</f>
        <v>ATLCOUNCIL</v>
      </c>
      <c r="D240" s="7" t="str">
        <f>$A240&amp;"-"&amp;$C240&amp;"-"&amp;TEXT(COUNTIFS($A$2:$A240,$A240,$C$2:$C240,$C240),"000")</f>
        <v>F1-ATLCOUNCIL-174</v>
      </c>
      <c r="E240" s="7" t="s">
        <v>331</v>
      </c>
      <c r="F240" s="7" t="s">
        <v>145</v>
      </c>
      <c r="G240" s="7" t="s">
        <v>4</v>
      </c>
    </row>
    <row r="241" spans="1:7">
      <c r="A241" s="7" t="s">
        <v>57</v>
      </c>
      <c r="B241" s="7" t="s">
        <v>14</v>
      </c>
      <c r="C241" s="7" t="str">
        <f>VLOOKUP(B241,Indice!$B$1:$C$22,2,0)</f>
        <v>ATLCOUNCIL</v>
      </c>
      <c r="D241" s="7" t="str">
        <f>$A241&amp;"-"&amp;$C241&amp;"-"&amp;TEXT(COUNTIFS($A$2:$A241,$A241,$C$2:$C241,$C241),"000")</f>
        <v>F1-ATLCOUNCIL-175</v>
      </c>
      <c r="E241" s="7" t="s">
        <v>332</v>
      </c>
      <c r="F241" s="7" t="s">
        <v>153</v>
      </c>
      <c r="G241" s="7" t="s">
        <v>4</v>
      </c>
    </row>
    <row r="242" spans="1:7">
      <c r="A242" s="7" t="s">
        <v>57</v>
      </c>
      <c r="B242" s="7" t="s">
        <v>14</v>
      </c>
      <c r="C242" s="7" t="str">
        <f>VLOOKUP(B242,Indice!$B$1:$C$22,2,0)</f>
        <v>ATLCOUNCIL</v>
      </c>
      <c r="D242" s="7" t="str">
        <f>$A242&amp;"-"&amp;$C242&amp;"-"&amp;TEXT(COUNTIFS($A$2:$A242,$A242,$C$2:$C242,$C242),"000")</f>
        <v>F1-ATLCOUNCIL-176</v>
      </c>
      <c r="E242" s="7" t="s">
        <v>333</v>
      </c>
      <c r="F242" s="7" t="s">
        <v>157</v>
      </c>
      <c r="G242" s="7" t="s">
        <v>4</v>
      </c>
    </row>
    <row r="243" spans="1:7">
      <c r="A243" s="7" t="s">
        <v>57</v>
      </c>
      <c r="B243" s="7" t="s">
        <v>14</v>
      </c>
      <c r="C243" s="7" t="str">
        <f>VLOOKUP(B243,Indice!$B$1:$C$22,2,0)</f>
        <v>ATLCOUNCIL</v>
      </c>
      <c r="D243" s="7" t="str">
        <f>$A243&amp;"-"&amp;$C243&amp;"-"&amp;TEXT(COUNTIFS($A$2:$A243,$A243,$C$2:$C243,$C243),"000")</f>
        <v>F1-ATLCOUNCIL-177</v>
      </c>
      <c r="E243" s="7" t="s">
        <v>334</v>
      </c>
      <c r="F243" s="7" t="s">
        <v>171</v>
      </c>
      <c r="G243" s="7" t="s">
        <v>4</v>
      </c>
    </row>
    <row r="244" spans="1:7">
      <c r="A244" s="7" t="s">
        <v>57</v>
      </c>
      <c r="B244" s="7" t="s">
        <v>14</v>
      </c>
      <c r="C244" s="7" t="str">
        <f>VLOOKUP(B244,Indice!$B$1:$C$22,2,0)</f>
        <v>ATLCOUNCIL</v>
      </c>
      <c r="D244" s="7" t="str">
        <f>$A244&amp;"-"&amp;$C244&amp;"-"&amp;TEXT(COUNTIFS($A$2:$A244,$A244,$C$2:$C244,$C244),"000")</f>
        <v>F1-ATLCOUNCIL-178</v>
      </c>
      <c r="E244" s="7" t="s">
        <v>335</v>
      </c>
      <c r="F244" s="7" t="s">
        <v>169</v>
      </c>
      <c r="G244" s="7" t="s">
        <v>4</v>
      </c>
    </row>
    <row r="245" spans="1:7">
      <c r="A245" s="7" t="s">
        <v>57</v>
      </c>
      <c r="B245" s="7" t="s">
        <v>14</v>
      </c>
      <c r="C245" s="7" t="str">
        <f>VLOOKUP(B245,Indice!$B$1:$C$22,2,0)</f>
        <v>ATLCOUNCIL</v>
      </c>
      <c r="D245" s="7" t="str">
        <f>$A245&amp;"-"&amp;$C245&amp;"-"&amp;TEXT(COUNTIFS($A$2:$A245,$A245,$C$2:$C245,$C245),"000")</f>
        <v>F1-ATLCOUNCIL-179</v>
      </c>
      <c r="E245" s="7" t="s">
        <v>336</v>
      </c>
      <c r="F245" s="7" t="s">
        <v>149</v>
      </c>
      <c r="G245" s="7" t="s">
        <v>4</v>
      </c>
    </row>
    <row r="246" spans="1:7">
      <c r="A246" s="7" t="s">
        <v>57</v>
      </c>
      <c r="B246" s="7" t="s">
        <v>14</v>
      </c>
      <c r="C246" s="7" t="str">
        <f>VLOOKUP(B246,Indice!$B$1:$C$22,2,0)</f>
        <v>ATLCOUNCIL</v>
      </c>
      <c r="D246" s="7" t="str">
        <f>$A246&amp;"-"&amp;$C246&amp;"-"&amp;TEXT(COUNTIFS($A$2:$A246,$A246,$C$2:$C246,$C246),"000")</f>
        <v>F1-ATLCOUNCIL-180</v>
      </c>
      <c r="E246" s="7" t="s">
        <v>337</v>
      </c>
      <c r="F246" s="7" t="s">
        <v>175</v>
      </c>
      <c r="G246" s="7" t="s">
        <v>4</v>
      </c>
    </row>
    <row r="247" spans="1:7">
      <c r="A247" s="7" t="s">
        <v>57</v>
      </c>
      <c r="B247" s="7" t="s">
        <v>14</v>
      </c>
      <c r="C247" s="7" t="str">
        <f>VLOOKUP(B247,Indice!$B$1:$C$22,2,0)</f>
        <v>ATLCOUNCIL</v>
      </c>
      <c r="D247" s="7" t="str">
        <f>$A247&amp;"-"&amp;$C247&amp;"-"&amp;TEXT(COUNTIFS($A$2:$A247,$A247,$C$2:$C247,$C247),"000")</f>
        <v>F1-ATLCOUNCIL-181</v>
      </c>
      <c r="E247" s="7" t="s">
        <v>338</v>
      </c>
      <c r="F247" s="7" t="s">
        <v>175</v>
      </c>
      <c r="G247" s="7" t="s">
        <v>4</v>
      </c>
    </row>
    <row r="248" spans="1:7">
      <c r="A248" s="7" t="s">
        <v>57</v>
      </c>
      <c r="B248" s="7" t="s">
        <v>14</v>
      </c>
      <c r="C248" s="7" t="str">
        <f>VLOOKUP(B248,Indice!$B$1:$C$22,2,0)</f>
        <v>ATLCOUNCIL</v>
      </c>
      <c r="D248" s="7" t="str">
        <f>$A248&amp;"-"&amp;$C248&amp;"-"&amp;TEXT(COUNTIFS($A$2:$A248,$A248,$C$2:$C248,$C248),"000")</f>
        <v>F1-ATLCOUNCIL-182</v>
      </c>
      <c r="E248" s="7" t="s">
        <v>339</v>
      </c>
      <c r="F248" s="7" t="s">
        <v>153</v>
      </c>
      <c r="G248" s="7" t="s">
        <v>4</v>
      </c>
    </row>
    <row r="249" spans="1:7">
      <c r="A249" s="7" t="s">
        <v>57</v>
      </c>
      <c r="B249" s="7" t="s">
        <v>14</v>
      </c>
      <c r="C249" s="7" t="str">
        <f>VLOOKUP(B249,Indice!$B$1:$C$22,2,0)</f>
        <v>ATLCOUNCIL</v>
      </c>
      <c r="D249" s="7" t="str">
        <f>$A249&amp;"-"&amp;$C249&amp;"-"&amp;TEXT(COUNTIFS($A$2:$A249,$A249,$C$2:$C249,$C249),"000")</f>
        <v>F1-ATLCOUNCIL-183</v>
      </c>
      <c r="E249" s="7" t="s">
        <v>340</v>
      </c>
      <c r="F249" s="7" t="s">
        <v>171</v>
      </c>
      <c r="G249" s="7" t="s">
        <v>4</v>
      </c>
    </row>
    <row r="250" spans="1:7">
      <c r="A250" s="7" t="s">
        <v>57</v>
      </c>
      <c r="B250" s="7" t="s">
        <v>14</v>
      </c>
      <c r="C250" s="7" t="str">
        <f>VLOOKUP(B250,Indice!$B$1:$C$22,2,0)</f>
        <v>ATLCOUNCIL</v>
      </c>
      <c r="D250" s="7" t="str">
        <f>$A250&amp;"-"&amp;$C250&amp;"-"&amp;TEXT(COUNTIFS($A$2:$A250,$A250,$C$2:$C250,$C250),"000")</f>
        <v>F1-ATLCOUNCIL-184</v>
      </c>
      <c r="E250" s="7" t="s">
        <v>341</v>
      </c>
      <c r="F250" s="7" t="s">
        <v>145</v>
      </c>
      <c r="G250" s="7" t="s">
        <v>4</v>
      </c>
    </row>
    <row r="251" spans="1:7">
      <c r="A251" s="7" t="s">
        <v>57</v>
      </c>
      <c r="B251" s="7" t="s">
        <v>14</v>
      </c>
      <c r="C251" s="7" t="str">
        <f>VLOOKUP(B251,Indice!$B$1:$C$22,2,0)</f>
        <v>ATLCOUNCIL</v>
      </c>
      <c r="D251" s="7" t="str">
        <f>$A251&amp;"-"&amp;$C251&amp;"-"&amp;TEXT(COUNTIFS($A$2:$A251,$A251,$C$2:$C251,$C251),"000")</f>
        <v>F1-ATLCOUNCIL-185</v>
      </c>
      <c r="E251" s="7" t="s">
        <v>342</v>
      </c>
      <c r="F251" s="7" t="s">
        <v>161</v>
      </c>
      <c r="G251" s="7" t="s">
        <v>4</v>
      </c>
    </row>
    <row r="252" spans="1:7">
      <c r="A252" s="7" t="s">
        <v>57</v>
      </c>
      <c r="B252" s="7" t="s">
        <v>14</v>
      </c>
      <c r="C252" s="7" t="str">
        <f>VLOOKUP(B252,Indice!$B$1:$C$22,2,0)</f>
        <v>ATLCOUNCIL</v>
      </c>
      <c r="D252" s="7" t="str">
        <f>$A252&amp;"-"&amp;$C252&amp;"-"&amp;TEXT(COUNTIFS($A$2:$A252,$A252,$C$2:$C252,$C252),"000")</f>
        <v>F1-ATLCOUNCIL-186</v>
      </c>
      <c r="E252" s="7" t="s">
        <v>343</v>
      </c>
      <c r="F252" s="7" t="s">
        <v>157</v>
      </c>
      <c r="G252" s="7" t="s">
        <v>4</v>
      </c>
    </row>
    <row r="253" spans="1:7">
      <c r="A253" s="7" t="s">
        <v>57</v>
      </c>
      <c r="B253" s="7" t="s">
        <v>16</v>
      </c>
      <c r="C253" s="7" t="str">
        <f>VLOOKUP(B253,Indice!$B$1:$C$22,2,0)</f>
        <v>CENIA</v>
      </c>
      <c r="D253" s="7" t="str">
        <f>$A253&amp;"-"&amp;$C253&amp;"-"&amp;TEXT(COUNTIFS($A$2:$A253,$A253,$C$2:$C253,$C253),"000")</f>
        <v>F1-CENIA-001</v>
      </c>
      <c r="E253" s="7" t="s">
        <v>344</v>
      </c>
      <c r="F253" s="7" t="s">
        <v>345</v>
      </c>
      <c r="G253" s="7" t="s">
        <v>3</v>
      </c>
    </row>
    <row r="254" spans="1:7">
      <c r="A254" s="7" t="s">
        <v>57</v>
      </c>
      <c r="B254" s="7" t="s">
        <v>16</v>
      </c>
      <c r="C254" s="7" t="str">
        <f>VLOOKUP(B254,Indice!$B$1:$C$22,2,0)</f>
        <v>CENIA</v>
      </c>
      <c r="D254" s="7" t="str">
        <f>$A254&amp;"-"&amp;$C254&amp;"-"&amp;TEXT(COUNTIFS($A$2:$A254,$A254,$C$2:$C254,$C254),"000")</f>
        <v>F1-CENIA-002</v>
      </c>
      <c r="E254" s="7" t="s">
        <v>346</v>
      </c>
      <c r="F254" s="7" t="s">
        <v>345</v>
      </c>
      <c r="G254" s="7" t="s">
        <v>3</v>
      </c>
    </row>
    <row r="255" spans="1:7">
      <c r="A255" s="7" t="s">
        <v>57</v>
      </c>
      <c r="B255" s="7" t="s">
        <v>16</v>
      </c>
      <c r="C255" s="7" t="str">
        <f>VLOOKUP(B255,Indice!$B$1:$C$22,2,0)</f>
        <v>CENIA</v>
      </c>
      <c r="D255" s="7" t="str">
        <f>$A255&amp;"-"&amp;$C255&amp;"-"&amp;TEXT(COUNTIFS($A$2:$A255,$A255,$C$2:$C255,$C255),"000")</f>
        <v>F1-CENIA-003</v>
      </c>
      <c r="E255" s="7" t="s">
        <v>347</v>
      </c>
      <c r="F255" s="7" t="s">
        <v>345</v>
      </c>
      <c r="G255" s="7" t="s">
        <v>3</v>
      </c>
    </row>
    <row r="256" spans="1:7">
      <c r="A256" s="7" t="s">
        <v>57</v>
      </c>
      <c r="B256" s="7" t="s">
        <v>16</v>
      </c>
      <c r="C256" s="7" t="str">
        <f>VLOOKUP(B256,Indice!$B$1:$C$22,2,0)</f>
        <v>CENIA</v>
      </c>
      <c r="D256" s="7" t="str">
        <f>$A256&amp;"-"&amp;$C256&amp;"-"&amp;TEXT(COUNTIFS($A$2:$A256,$A256,$C$2:$C256,$C256),"000")</f>
        <v>F1-CENIA-004</v>
      </c>
      <c r="E256" s="7" t="s">
        <v>348</v>
      </c>
      <c r="F256" s="7" t="s">
        <v>349</v>
      </c>
      <c r="G256" s="7" t="s">
        <v>4</v>
      </c>
    </row>
    <row r="257" spans="1:7">
      <c r="A257" s="7" t="s">
        <v>57</v>
      </c>
      <c r="B257" s="7" t="s">
        <v>16</v>
      </c>
      <c r="C257" s="7" t="str">
        <f>VLOOKUP(B257,Indice!$B$1:$C$22,2,0)</f>
        <v>CENIA</v>
      </c>
      <c r="D257" s="7" t="str">
        <f>$A257&amp;"-"&amp;$C257&amp;"-"&amp;TEXT(COUNTIFS($A$2:$A257,$A257,$C$2:$C257,$C257),"000")</f>
        <v>F1-CENIA-005</v>
      </c>
      <c r="E257" s="7" t="s">
        <v>350</v>
      </c>
      <c r="F257" s="7" t="s">
        <v>349</v>
      </c>
      <c r="G257" s="7" t="s">
        <v>4</v>
      </c>
    </row>
    <row r="258" spans="1:7">
      <c r="A258" s="7" t="s">
        <v>57</v>
      </c>
      <c r="B258" s="7" t="s">
        <v>16</v>
      </c>
      <c r="C258" s="7" t="str">
        <f>VLOOKUP(B258,Indice!$B$1:$C$22,2,0)</f>
        <v>CENIA</v>
      </c>
      <c r="D258" s="7" t="str">
        <f>$A258&amp;"-"&amp;$C258&amp;"-"&amp;TEXT(COUNTIFS($A$2:$A258,$A258,$C$2:$C258,$C258),"000")</f>
        <v>F1-CENIA-006</v>
      </c>
      <c r="E258" s="7" t="s">
        <v>351</v>
      </c>
      <c r="F258" s="7" t="s">
        <v>349</v>
      </c>
      <c r="G258" s="7" t="s">
        <v>4</v>
      </c>
    </row>
    <row r="259" spans="1:7">
      <c r="A259" s="7" t="s">
        <v>57</v>
      </c>
      <c r="B259" s="7" t="s">
        <v>16</v>
      </c>
      <c r="C259" s="7" t="str">
        <f>VLOOKUP(B259,Indice!$B$1:$C$22,2,0)</f>
        <v>CENIA</v>
      </c>
      <c r="D259" s="7" t="str">
        <f>$A259&amp;"-"&amp;$C259&amp;"-"&amp;TEXT(COUNTIFS($A$2:$A259,$A259,$C$2:$C259,$C259),"000")</f>
        <v>F1-CENIA-007</v>
      </c>
      <c r="E259" s="7" t="s">
        <v>352</v>
      </c>
      <c r="F259" s="7" t="s">
        <v>345</v>
      </c>
      <c r="G259" s="7" t="s">
        <v>3</v>
      </c>
    </row>
    <row r="260" spans="1:7">
      <c r="A260" s="7" t="s">
        <v>57</v>
      </c>
      <c r="B260" s="7" t="s">
        <v>16</v>
      </c>
      <c r="C260" s="7" t="str">
        <f>VLOOKUP(B260,Indice!$B$1:$C$22,2,0)</f>
        <v>CENIA</v>
      </c>
      <c r="D260" s="7" t="str">
        <f>$A260&amp;"-"&amp;$C260&amp;"-"&amp;TEXT(COUNTIFS($A$2:$A260,$A260,$C$2:$C260,$C260),"000")</f>
        <v>F1-CENIA-008</v>
      </c>
      <c r="E260" s="7" t="s">
        <v>353</v>
      </c>
      <c r="F260" s="7" t="s">
        <v>349</v>
      </c>
      <c r="G260" s="7" t="s">
        <v>4</v>
      </c>
    </row>
    <row r="261" spans="1:7">
      <c r="A261" s="7" t="s">
        <v>57</v>
      </c>
      <c r="B261" s="7" t="s">
        <v>16</v>
      </c>
      <c r="C261" s="7" t="str">
        <f>VLOOKUP(B261,Indice!$B$1:$C$22,2,0)</f>
        <v>CENIA</v>
      </c>
      <c r="D261" s="7" t="str">
        <f>$A261&amp;"-"&amp;$C261&amp;"-"&amp;TEXT(COUNTIFS($A$2:$A261,$A261,$C$2:$C261,$C261),"000")</f>
        <v>F1-CENIA-009</v>
      </c>
      <c r="E261" s="7" t="s">
        <v>354</v>
      </c>
      <c r="F261" s="7" t="s">
        <v>349</v>
      </c>
      <c r="G261" s="7" t="s">
        <v>4</v>
      </c>
    </row>
    <row r="262" spans="1:7">
      <c r="A262" s="7" t="s">
        <v>57</v>
      </c>
      <c r="B262" s="7" t="s">
        <v>16</v>
      </c>
      <c r="C262" s="7" t="str">
        <f>VLOOKUP(B262,Indice!$B$1:$C$22,2,0)</f>
        <v>CENIA</v>
      </c>
      <c r="D262" s="7" t="str">
        <f>$A262&amp;"-"&amp;$C262&amp;"-"&amp;TEXT(COUNTIFS($A$2:$A262,$A262,$C$2:$C262,$C262),"000")</f>
        <v>F1-CENIA-010</v>
      </c>
      <c r="E262" s="7" t="s">
        <v>355</v>
      </c>
      <c r="F262" s="7" t="s">
        <v>345</v>
      </c>
      <c r="G262" s="7" t="s">
        <v>3</v>
      </c>
    </row>
    <row r="263" spans="1:7">
      <c r="A263" s="7" t="s">
        <v>57</v>
      </c>
      <c r="B263" s="7" t="s">
        <v>16</v>
      </c>
      <c r="C263" s="7" t="str">
        <f>VLOOKUP(B263,Indice!$B$1:$C$22,2,0)</f>
        <v>CENIA</v>
      </c>
      <c r="D263" s="7" t="str">
        <f>$A263&amp;"-"&amp;$C263&amp;"-"&amp;TEXT(COUNTIFS($A$2:$A263,$A263,$C$2:$C263,$C263),"000")</f>
        <v>F1-CENIA-011</v>
      </c>
      <c r="E263" s="7" t="s">
        <v>356</v>
      </c>
      <c r="F263" s="7" t="s">
        <v>345</v>
      </c>
      <c r="G263" s="7" t="s">
        <v>3</v>
      </c>
    </row>
    <row r="264" spans="1:7">
      <c r="A264" s="7" t="s">
        <v>57</v>
      </c>
      <c r="B264" s="7" t="s">
        <v>16</v>
      </c>
      <c r="C264" s="7" t="str">
        <f>VLOOKUP(B264,Indice!$B$1:$C$22,2,0)</f>
        <v>CENIA</v>
      </c>
      <c r="D264" s="7" t="str">
        <f>$A264&amp;"-"&amp;$C264&amp;"-"&amp;TEXT(COUNTIFS($A$2:$A264,$A264,$C$2:$C264,$C264),"000")</f>
        <v>F1-CENIA-012</v>
      </c>
      <c r="E264" s="7" t="s">
        <v>357</v>
      </c>
      <c r="F264" s="7" t="s">
        <v>349</v>
      </c>
      <c r="G264" s="7" t="s">
        <v>4</v>
      </c>
    </row>
    <row r="265" spans="1:7">
      <c r="A265" s="7" t="s">
        <v>57</v>
      </c>
      <c r="B265" s="7" t="s">
        <v>16</v>
      </c>
      <c r="C265" s="7" t="str">
        <f>VLOOKUP(B265,Indice!$B$1:$C$22,2,0)</f>
        <v>CENIA</v>
      </c>
      <c r="D265" s="7" t="str">
        <f>$A265&amp;"-"&amp;$C265&amp;"-"&amp;TEXT(COUNTIFS($A$2:$A265,$A265,$C$2:$C265,$C265),"000")</f>
        <v>F1-CENIA-013</v>
      </c>
      <c r="E265" s="7" t="s">
        <v>358</v>
      </c>
      <c r="F265" s="7" t="s">
        <v>349</v>
      </c>
      <c r="G265" s="7" t="s">
        <v>4</v>
      </c>
    </row>
    <row r="266" spans="1:7">
      <c r="A266" s="7" t="s">
        <v>57</v>
      </c>
      <c r="B266" s="7" t="s">
        <v>16</v>
      </c>
      <c r="C266" s="7" t="str">
        <f>VLOOKUP(B266,Indice!$B$1:$C$22,2,0)</f>
        <v>CENIA</v>
      </c>
      <c r="D266" s="7" t="str">
        <f>$A266&amp;"-"&amp;$C266&amp;"-"&amp;TEXT(COUNTIFS($A$2:$A266,$A266,$C$2:$C266,$C266),"000")</f>
        <v>F1-CENIA-014</v>
      </c>
      <c r="E266" s="7" t="s">
        <v>359</v>
      </c>
      <c r="F266" s="7" t="s">
        <v>349</v>
      </c>
      <c r="G266" s="7" t="s">
        <v>4</v>
      </c>
    </row>
    <row r="267" spans="1:7">
      <c r="A267" s="7" t="s">
        <v>57</v>
      </c>
      <c r="B267" s="7" t="s">
        <v>16</v>
      </c>
      <c r="C267" s="7" t="str">
        <f>VLOOKUP(B267,Indice!$B$1:$C$22,2,0)</f>
        <v>CENIA</v>
      </c>
      <c r="D267" s="7" t="str">
        <f>$A267&amp;"-"&amp;$C267&amp;"-"&amp;TEXT(COUNTIFS($A$2:$A267,$A267,$C$2:$C267,$C267),"000")</f>
        <v>F1-CENIA-015</v>
      </c>
      <c r="E267" s="7" t="s">
        <v>360</v>
      </c>
      <c r="F267" s="7" t="s">
        <v>349</v>
      </c>
      <c r="G267" s="7" t="s">
        <v>4</v>
      </c>
    </row>
    <row r="268" spans="1:7">
      <c r="A268" s="7" t="s">
        <v>57</v>
      </c>
      <c r="B268" s="7" t="s">
        <v>16</v>
      </c>
      <c r="C268" s="7" t="str">
        <f>VLOOKUP(B268,Indice!$B$1:$C$22,2,0)</f>
        <v>CENIA</v>
      </c>
      <c r="D268" s="7" t="str">
        <f>$A268&amp;"-"&amp;$C268&amp;"-"&amp;TEXT(COUNTIFS($A$2:$A268,$A268,$C$2:$C268,$C268),"000")</f>
        <v>F1-CENIA-016</v>
      </c>
      <c r="E268" s="7" t="s">
        <v>361</v>
      </c>
      <c r="F268" s="7" t="s">
        <v>349</v>
      </c>
      <c r="G268" s="7" t="s">
        <v>4</v>
      </c>
    </row>
    <row r="269" spans="1:7">
      <c r="A269" s="7" t="s">
        <v>57</v>
      </c>
      <c r="B269" s="7" t="s">
        <v>16</v>
      </c>
      <c r="C269" s="7" t="str">
        <f>VLOOKUP(B269,Indice!$B$1:$C$22,2,0)</f>
        <v>CENIA</v>
      </c>
      <c r="D269" s="7" t="str">
        <f>$A269&amp;"-"&amp;$C269&amp;"-"&amp;TEXT(COUNTIFS($A$2:$A269,$A269,$C$2:$C269,$C269),"000")</f>
        <v>F1-CENIA-017</v>
      </c>
      <c r="E269" s="7" t="s">
        <v>362</v>
      </c>
      <c r="F269" s="7" t="s">
        <v>345</v>
      </c>
      <c r="G269" s="7" t="s">
        <v>3</v>
      </c>
    </row>
    <row r="270" spans="1:7">
      <c r="A270" s="7" t="s">
        <v>57</v>
      </c>
      <c r="B270" s="7" t="s">
        <v>16</v>
      </c>
      <c r="C270" s="7" t="str">
        <f>VLOOKUP(B270,Indice!$B$1:$C$22,2,0)</f>
        <v>CENIA</v>
      </c>
      <c r="D270" s="7" t="str">
        <f>$A270&amp;"-"&amp;$C270&amp;"-"&amp;TEXT(COUNTIFS($A$2:$A270,$A270,$C$2:$C270,$C270),"000")</f>
        <v>F1-CENIA-018</v>
      </c>
      <c r="E270" s="7" t="s">
        <v>363</v>
      </c>
      <c r="F270" s="7" t="s">
        <v>345</v>
      </c>
      <c r="G270" s="7" t="s">
        <v>3</v>
      </c>
    </row>
    <row r="271" spans="1:7">
      <c r="A271" s="7" t="s">
        <v>57</v>
      </c>
      <c r="B271" s="7" t="s">
        <v>16</v>
      </c>
      <c r="C271" s="7" t="str">
        <f>VLOOKUP(B271,Indice!$B$1:$C$22,2,0)</f>
        <v>CENIA</v>
      </c>
      <c r="D271" s="7" t="str">
        <f>$A271&amp;"-"&amp;$C271&amp;"-"&amp;TEXT(COUNTIFS($A$2:$A271,$A271,$C$2:$C271,$C271),"000")</f>
        <v>F1-CENIA-019</v>
      </c>
      <c r="E271" s="7" t="s">
        <v>364</v>
      </c>
      <c r="F271" s="7" t="s">
        <v>345</v>
      </c>
      <c r="G271" s="7" t="s">
        <v>3</v>
      </c>
    </row>
    <row r="272" spans="1:7">
      <c r="A272" s="7" t="s">
        <v>57</v>
      </c>
      <c r="B272" s="7" t="s">
        <v>16</v>
      </c>
      <c r="C272" s="7" t="str">
        <f>VLOOKUP(B272,Indice!$B$1:$C$22,2,0)</f>
        <v>CENIA</v>
      </c>
      <c r="D272" s="7" t="str">
        <f>$A272&amp;"-"&amp;$C272&amp;"-"&amp;TEXT(COUNTIFS($A$2:$A272,$A272,$C$2:$C272,$C272),"000")</f>
        <v>F1-CENIA-020</v>
      </c>
      <c r="E272" s="7" t="s">
        <v>365</v>
      </c>
      <c r="F272" s="7" t="s">
        <v>349</v>
      </c>
      <c r="G272" s="7" t="s">
        <v>4</v>
      </c>
    </row>
    <row r="273" spans="1:7">
      <c r="A273" s="7" t="s">
        <v>57</v>
      </c>
      <c r="B273" s="7" t="s">
        <v>16</v>
      </c>
      <c r="C273" s="7" t="str">
        <f>VLOOKUP(B273,Indice!$B$1:$C$22,2,0)</f>
        <v>CENIA</v>
      </c>
      <c r="D273" s="7" t="str">
        <f>$A273&amp;"-"&amp;$C273&amp;"-"&amp;TEXT(COUNTIFS($A$2:$A273,$A273,$C$2:$C273,$C273),"000")</f>
        <v>F1-CENIA-021</v>
      </c>
      <c r="E273" s="7" t="s">
        <v>366</v>
      </c>
      <c r="F273" s="7" t="s">
        <v>345</v>
      </c>
      <c r="G273" s="7" t="s">
        <v>3</v>
      </c>
    </row>
    <row r="274" spans="1:7">
      <c r="A274" s="7" t="s">
        <v>57</v>
      </c>
      <c r="B274" s="7" t="s">
        <v>16</v>
      </c>
      <c r="C274" s="7" t="str">
        <f>VLOOKUP(B274,Indice!$B$1:$C$22,2,0)</f>
        <v>CENIA</v>
      </c>
      <c r="D274" s="7" t="str">
        <f>$A274&amp;"-"&amp;$C274&amp;"-"&amp;TEXT(COUNTIFS($A$2:$A274,$A274,$C$2:$C274,$C274),"000")</f>
        <v>F1-CENIA-022</v>
      </c>
      <c r="E274" s="7" t="s">
        <v>367</v>
      </c>
      <c r="F274" s="7" t="s">
        <v>349</v>
      </c>
      <c r="G274" s="7" t="s">
        <v>4</v>
      </c>
    </row>
    <row r="275" spans="1:7">
      <c r="A275" s="7" t="s">
        <v>57</v>
      </c>
      <c r="B275" s="7" t="s">
        <v>16</v>
      </c>
      <c r="C275" s="7" t="str">
        <f>VLOOKUP(B275,Indice!$B$1:$C$22,2,0)</f>
        <v>CENIA</v>
      </c>
      <c r="D275" s="7" t="str">
        <f>$A275&amp;"-"&amp;$C275&amp;"-"&amp;TEXT(COUNTIFS($A$2:$A275,$A275,$C$2:$C275,$C275),"000")</f>
        <v>F1-CENIA-023</v>
      </c>
      <c r="E275" s="7" t="s">
        <v>368</v>
      </c>
      <c r="F275" s="7" t="s">
        <v>349</v>
      </c>
      <c r="G275" s="7" t="s">
        <v>4</v>
      </c>
    </row>
    <row r="276" spans="1:7">
      <c r="A276" s="7" t="s">
        <v>57</v>
      </c>
      <c r="B276" s="7" t="s">
        <v>16</v>
      </c>
      <c r="C276" s="7" t="str">
        <f>VLOOKUP(B276,Indice!$B$1:$C$22,2,0)</f>
        <v>CENIA</v>
      </c>
      <c r="D276" s="7" t="str">
        <f>$A276&amp;"-"&amp;$C276&amp;"-"&amp;TEXT(COUNTIFS($A$2:$A276,$A276,$C$2:$C276,$C276),"000")</f>
        <v>F1-CENIA-024</v>
      </c>
      <c r="E276" s="7" t="s">
        <v>369</v>
      </c>
      <c r="F276" s="7" t="s">
        <v>345</v>
      </c>
      <c r="G276" s="7" t="s">
        <v>3</v>
      </c>
    </row>
    <row r="277" spans="1:7">
      <c r="A277" s="7" t="s">
        <v>57</v>
      </c>
      <c r="B277" s="7" t="s">
        <v>16</v>
      </c>
      <c r="C277" s="7" t="str">
        <f>VLOOKUP(B277,Indice!$B$1:$C$22,2,0)</f>
        <v>CENIA</v>
      </c>
      <c r="D277" s="7" t="str">
        <f>$A277&amp;"-"&amp;$C277&amp;"-"&amp;TEXT(COUNTIFS($A$2:$A277,$A277,$C$2:$C277,$C277),"000")</f>
        <v>F1-CENIA-025</v>
      </c>
      <c r="E277" s="7" t="s">
        <v>370</v>
      </c>
      <c r="F277" s="7" t="s">
        <v>345</v>
      </c>
      <c r="G277" s="7" t="s">
        <v>3</v>
      </c>
    </row>
    <row r="278" spans="1:7">
      <c r="A278" s="7" t="s">
        <v>57</v>
      </c>
      <c r="B278" s="7" t="s">
        <v>16</v>
      </c>
      <c r="C278" s="7" t="str">
        <f>VLOOKUP(B278,Indice!$B$1:$C$22,2,0)</f>
        <v>CENIA</v>
      </c>
      <c r="D278" s="7" t="str">
        <f>$A278&amp;"-"&amp;$C278&amp;"-"&amp;TEXT(COUNTIFS($A$2:$A278,$A278,$C$2:$C278,$C278),"000")</f>
        <v>F1-CENIA-026</v>
      </c>
      <c r="E278" s="7" t="s">
        <v>371</v>
      </c>
      <c r="F278" s="7" t="s">
        <v>349</v>
      </c>
      <c r="G278" s="7" t="s">
        <v>4</v>
      </c>
    </row>
    <row r="279" spans="1:7">
      <c r="A279" s="7" t="s">
        <v>57</v>
      </c>
      <c r="B279" s="7" t="s">
        <v>16</v>
      </c>
      <c r="C279" s="7" t="str">
        <f>VLOOKUP(B279,Indice!$B$1:$C$22,2,0)</f>
        <v>CENIA</v>
      </c>
      <c r="D279" s="7" t="str">
        <f>$A279&amp;"-"&amp;$C279&amp;"-"&amp;TEXT(COUNTIFS($A$2:$A279,$A279,$C$2:$C279,$C279),"000")</f>
        <v>F1-CENIA-027</v>
      </c>
      <c r="E279" s="7" t="s">
        <v>372</v>
      </c>
      <c r="F279" s="7" t="s">
        <v>349</v>
      </c>
      <c r="G279" s="7" t="s">
        <v>4</v>
      </c>
    </row>
    <row r="280" spans="1:7">
      <c r="A280" s="7" t="s">
        <v>57</v>
      </c>
      <c r="B280" s="7" t="s">
        <v>17</v>
      </c>
      <c r="C280" s="7" t="str">
        <f>VLOOKUP(B280,Indice!$B$1:$C$22,2,0)</f>
        <v>CSET</v>
      </c>
      <c r="D280" s="7" t="str">
        <f>$A280&amp;"-"&amp;$C280&amp;"-"&amp;TEXT(COUNTIFS($A$2:$A280,$A280,$C$2:$C280,$C280),"000")</f>
        <v>F1-CSET-001</v>
      </c>
      <c r="E280" s="7" t="s">
        <v>373</v>
      </c>
      <c r="F280" s="7" t="s">
        <v>374</v>
      </c>
      <c r="G280" s="7" t="s">
        <v>3</v>
      </c>
    </row>
    <row r="281" spans="1:7">
      <c r="A281" s="7" t="s">
        <v>57</v>
      </c>
      <c r="B281" s="7" t="s">
        <v>17</v>
      </c>
      <c r="C281" s="7" t="str">
        <f>VLOOKUP(B281,Indice!$B$1:$C$22,2,0)</f>
        <v>CSET</v>
      </c>
      <c r="D281" s="7" t="str">
        <f>$A281&amp;"-"&amp;$C281&amp;"-"&amp;TEXT(COUNTIFS($A$2:$A281,$A281,$C$2:$C281,$C281),"000")</f>
        <v>F1-CSET-002</v>
      </c>
      <c r="E281" s="7" t="s">
        <v>373</v>
      </c>
      <c r="F281" s="7" t="s">
        <v>375</v>
      </c>
      <c r="G281" s="7" t="s">
        <v>3</v>
      </c>
    </row>
    <row r="282" spans="1:7">
      <c r="A282" s="7" t="s">
        <v>57</v>
      </c>
      <c r="B282" s="7" t="s">
        <v>17</v>
      </c>
      <c r="C282" s="7" t="str">
        <f>VLOOKUP(B282,Indice!$B$1:$C$22,2,0)</f>
        <v>CSET</v>
      </c>
      <c r="D282" s="7" t="str">
        <f>$A282&amp;"-"&amp;$C282&amp;"-"&amp;TEXT(COUNTIFS($A$2:$A282,$A282,$C$2:$C282,$C282),"000")</f>
        <v>F1-CSET-003</v>
      </c>
      <c r="E282" s="7" t="s">
        <v>376</v>
      </c>
      <c r="F282" s="7" t="s">
        <v>374</v>
      </c>
      <c r="G282" s="7" t="s">
        <v>3</v>
      </c>
    </row>
    <row r="283" spans="1:7">
      <c r="A283" s="7" t="s">
        <v>57</v>
      </c>
      <c r="B283" s="7" t="s">
        <v>17</v>
      </c>
      <c r="C283" s="7" t="str">
        <f>VLOOKUP(B283,Indice!$B$1:$C$22,2,0)</f>
        <v>CSET</v>
      </c>
      <c r="D283" s="7" t="str">
        <f>$A283&amp;"-"&amp;$C283&amp;"-"&amp;TEXT(COUNTIFS($A$2:$A283,$A283,$C$2:$C283,$C283),"000")</f>
        <v>F1-CSET-004</v>
      </c>
      <c r="E283" s="7" t="s">
        <v>376</v>
      </c>
      <c r="F283" s="7" t="s">
        <v>375</v>
      </c>
      <c r="G283" s="7" t="s">
        <v>3</v>
      </c>
    </row>
    <row r="284" spans="1:7">
      <c r="A284" s="7" t="s">
        <v>57</v>
      </c>
      <c r="B284" s="7" t="s">
        <v>17</v>
      </c>
      <c r="C284" s="7" t="str">
        <f>VLOOKUP(B284,Indice!$B$1:$C$22,2,0)</f>
        <v>CSET</v>
      </c>
      <c r="D284" s="7" t="str">
        <f>$A284&amp;"-"&amp;$C284&amp;"-"&amp;TEXT(COUNTIFS($A$2:$A284,$A284,$C$2:$C284,$C284),"000")</f>
        <v>F1-CSET-005</v>
      </c>
      <c r="E284" s="7" t="s">
        <v>377</v>
      </c>
      <c r="F284" s="7" t="s">
        <v>374</v>
      </c>
      <c r="G284" s="7" t="s">
        <v>3</v>
      </c>
    </row>
    <row r="285" spans="1:7">
      <c r="A285" s="7" t="s">
        <v>57</v>
      </c>
      <c r="B285" s="7" t="s">
        <v>17</v>
      </c>
      <c r="C285" s="7" t="str">
        <f>VLOOKUP(B285,Indice!$B$1:$C$22,2,0)</f>
        <v>CSET</v>
      </c>
      <c r="D285" s="7" t="str">
        <f>$A285&amp;"-"&amp;$C285&amp;"-"&amp;TEXT(COUNTIFS($A$2:$A285,$A285,$C$2:$C285,$C285),"000")</f>
        <v>F1-CSET-006</v>
      </c>
      <c r="E285" s="7" t="s">
        <v>377</v>
      </c>
      <c r="F285" s="7" t="s">
        <v>375</v>
      </c>
      <c r="G285" s="7" t="s">
        <v>3</v>
      </c>
    </row>
    <row r="286" spans="1:7">
      <c r="A286" s="7" t="s">
        <v>57</v>
      </c>
      <c r="B286" s="7" t="s">
        <v>17</v>
      </c>
      <c r="C286" s="7" t="str">
        <f>VLOOKUP(B286,Indice!$B$1:$C$22,2,0)</f>
        <v>CSET</v>
      </c>
      <c r="D286" s="7" t="str">
        <f>$A286&amp;"-"&amp;$C286&amp;"-"&amp;TEXT(COUNTIFS($A$2:$A286,$A286,$C$2:$C286,$C286),"000")</f>
        <v>F1-CSET-007</v>
      </c>
      <c r="E286" s="7" t="s">
        <v>378</v>
      </c>
      <c r="F286" s="7" t="s">
        <v>374</v>
      </c>
      <c r="G286" s="7" t="s">
        <v>3</v>
      </c>
    </row>
    <row r="287" spans="1:7">
      <c r="A287" s="7" t="s">
        <v>57</v>
      </c>
      <c r="B287" s="7" t="s">
        <v>17</v>
      </c>
      <c r="C287" s="7" t="str">
        <f>VLOOKUP(B287,Indice!$B$1:$C$22,2,0)</f>
        <v>CSET</v>
      </c>
      <c r="D287" s="7" t="str">
        <f>$A287&amp;"-"&amp;$C287&amp;"-"&amp;TEXT(COUNTIFS($A$2:$A287,$A287,$C$2:$C287,$C287),"000")</f>
        <v>F1-CSET-008</v>
      </c>
      <c r="E287" s="7" t="s">
        <v>378</v>
      </c>
      <c r="F287" s="7" t="s">
        <v>375</v>
      </c>
      <c r="G287" s="7" t="s">
        <v>3</v>
      </c>
    </row>
    <row r="288" spans="1:7">
      <c r="A288" s="7" t="s">
        <v>57</v>
      </c>
      <c r="B288" s="7" t="s">
        <v>17</v>
      </c>
      <c r="C288" s="7" t="str">
        <f>VLOOKUP(B288,Indice!$B$1:$C$22,2,0)</f>
        <v>CSET</v>
      </c>
      <c r="D288" s="7" t="str">
        <f>$A288&amp;"-"&amp;$C288&amp;"-"&amp;TEXT(COUNTIFS($A$2:$A288,$A288,$C$2:$C288,$C288),"000")</f>
        <v>F1-CSET-009</v>
      </c>
      <c r="E288" s="7" t="s">
        <v>379</v>
      </c>
      <c r="F288" s="7" t="s">
        <v>374</v>
      </c>
      <c r="G288" s="7" t="s">
        <v>3</v>
      </c>
    </row>
    <row r="289" spans="1:7">
      <c r="A289" s="7" t="s">
        <v>57</v>
      </c>
      <c r="B289" s="7" t="s">
        <v>17</v>
      </c>
      <c r="C289" s="7" t="str">
        <f>VLOOKUP(B289,Indice!$B$1:$C$22,2,0)</f>
        <v>CSET</v>
      </c>
      <c r="D289" s="7" t="str">
        <f>$A289&amp;"-"&amp;$C289&amp;"-"&amp;TEXT(COUNTIFS($A$2:$A289,$A289,$C$2:$C289,$C289),"000")</f>
        <v>F1-CSET-010</v>
      </c>
      <c r="E289" s="7" t="s">
        <v>379</v>
      </c>
      <c r="F289" s="7" t="s">
        <v>375</v>
      </c>
      <c r="G289" s="7" t="s">
        <v>3</v>
      </c>
    </row>
    <row r="290" spans="1:7">
      <c r="A290" s="7" t="s">
        <v>57</v>
      </c>
      <c r="B290" s="7" t="s">
        <v>17</v>
      </c>
      <c r="C290" s="7" t="str">
        <f>VLOOKUP(B290,Indice!$B$1:$C$22,2,0)</f>
        <v>CSET</v>
      </c>
      <c r="D290" s="7" t="str">
        <f>$A290&amp;"-"&amp;$C290&amp;"-"&amp;TEXT(COUNTIFS($A$2:$A290,$A290,$C$2:$C290,$C290),"000")</f>
        <v>F1-CSET-011</v>
      </c>
      <c r="E290" s="7" t="s">
        <v>380</v>
      </c>
      <c r="F290" s="7" t="s">
        <v>374</v>
      </c>
      <c r="G290" s="7" t="s">
        <v>3</v>
      </c>
    </row>
    <row r="291" spans="1:7">
      <c r="A291" s="7" t="s">
        <v>57</v>
      </c>
      <c r="B291" s="7" t="s">
        <v>17</v>
      </c>
      <c r="C291" s="7" t="str">
        <f>VLOOKUP(B291,Indice!$B$1:$C$22,2,0)</f>
        <v>CSET</v>
      </c>
      <c r="D291" s="7" t="str">
        <f>$A291&amp;"-"&amp;$C291&amp;"-"&amp;TEXT(COUNTIFS($A$2:$A291,$A291,$C$2:$C291,$C291),"000")</f>
        <v>F1-CSET-012</v>
      </c>
      <c r="E291" s="7" t="s">
        <v>380</v>
      </c>
      <c r="F291" s="7" t="s">
        <v>375</v>
      </c>
      <c r="G291" s="7" t="s">
        <v>3</v>
      </c>
    </row>
    <row r="292" spans="1:7">
      <c r="A292" s="7" t="s">
        <v>57</v>
      </c>
      <c r="B292" s="7" t="s">
        <v>17</v>
      </c>
      <c r="C292" s="7" t="str">
        <f>VLOOKUP(B292,Indice!$B$1:$C$22,2,0)</f>
        <v>CSET</v>
      </c>
      <c r="D292" s="7" t="str">
        <f>$A292&amp;"-"&amp;$C292&amp;"-"&amp;TEXT(COUNTIFS($A$2:$A292,$A292,$C$2:$C292,$C292),"000")</f>
        <v>F1-CSET-013</v>
      </c>
      <c r="E292" s="7" t="s">
        <v>381</v>
      </c>
      <c r="F292" s="7" t="s">
        <v>374</v>
      </c>
      <c r="G292" s="7" t="s">
        <v>3</v>
      </c>
    </row>
    <row r="293" spans="1:7">
      <c r="A293" s="7" t="s">
        <v>57</v>
      </c>
      <c r="B293" s="7" t="s">
        <v>17</v>
      </c>
      <c r="C293" s="7" t="str">
        <f>VLOOKUP(B293,Indice!$B$1:$C$22,2,0)</f>
        <v>CSET</v>
      </c>
      <c r="D293" s="7" t="str">
        <f>$A293&amp;"-"&amp;$C293&amp;"-"&amp;TEXT(COUNTIFS($A$2:$A293,$A293,$C$2:$C293,$C293),"000")</f>
        <v>F1-CSET-014</v>
      </c>
      <c r="E293" s="7" t="s">
        <v>381</v>
      </c>
      <c r="F293" s="7" t="s">
        <v>375</v>
      </c>
      <c r="G293" s="7" t="s">
        <v>3</v>
      </c>
    </row>
    <row r="294" spans="1:7">
      <c r="A294" s="7" t="s">
        <v>57</v>
      </c>
      <c r="B294" s="7" t="s">
        <v>17</v>
      </c>
      <c r="C294" s="7" t="str">
        <f>VLOOKUP(B294,Indice!$B$1:$C$22,2,0)</f>
        <v>CSET</v>
      </c>
      <c r="D294" s="7" t="str">
        <f>$A294&amp;"-"&amp;$C294&amp;"-"&amp;TEXT(COUNTIFS($A$2:$A294,$A294,$C$2:$C294,$C294),"000")</f>
        <v>F1-CSET-015</v>
      </c>
      <c r="E294" s="7" t="s">
        <v>382</v>
      </c>
      <c r="F294" s="7" t="s">
        <v>374</v>
      </c>
      <c r="G294" s="7" t="s">
        <v>3</v>
      </c>
    </row>
    <row r="295" spans="1:7">
      <c r="A295" s="7" t="s">
        <v>57</v>
      </c>
      <c r="B295" s="7" t="s">
        <v>17</v>
      </c>
      <c r="C295" s="7" t="str">
        <f>VLOOKUP(B295,Indice!$B$1:$C$22,2,0)</f>
        <v>CSET</v>
      </c>
      <c r="D295" s="7" t="str">
        <f>$A295&amp;"-"&amp;$C295&amp;"-"&amp;TEXT(COUNTIFS($A$2:$A295,$A295,$C$2:$C295,$C295),"000")</f>
        <v>F1-CSET-016</v>
      </c>
      <c r="E295" s="7" t="s">
        <v>382</v>
      </c>
      <c r="F295" s="7" t="s">
        <v>375</v>
      </c>
      <c r="G295" s="7" t="s">
        <v>3</v>
      </c>
    </row>
    <row r="296" spans="1:7">
      <c r="A296" s="7" t="s">
        <v>57</v>
      </c>
      <c r="B296" s="7" t="s">
        <v>17</v>
      </c>
      <c r="C296" s="7" t="str">
        <f>VLOOKUP(B296,Indice!$B$1:$C$22,2,0)</f>
        <v>CSET</v>
      </c>
      <c r="D296" s="7" t="str">
        <f>$A296&amp;"-"&amp;$C296&amp;"-"&amp;TEXT(COUNTIFS($A$2:$A296,$A296,$C$2:$C296,$C296),"000")</f>
        <v>F1-CSET-017</v>
      </c>
      <c r="E296" s="7" t="s">
        <v>383</v>
      </c>
      <c r="F296" s="7" t="s">
        <v>374</v>
      </c>
      <c r="G296" s="7" t="s">
        <v>3</v>
      </c>
    </row>
    <row r="297" spans="1:7">
      <c r="A297" s="7" t="s">
        <v>57</v>
      </c>
      <c r="B297" s="7" t="s">
        <v>17</v>
      </c>
      <c r="C297" s="7" t="str">
        <f>VLOOKUP(B297,Indice!$B$1:$C$22,2,0)</f>
        <v>CSET</v>
      </c>
      <c r="D297" s="7" t="str">
        <f>$A297&amp;"-"&amp;$C297&amp;"-"&amp;TEXT(COUNTIFS($A$2:$A297,$A297,$C$2:$C297,$C297),"000")</f>
        <v>F1-CSET-018</v>
      </c>
      <c r="E297" s="7" t="s">
        <v>383</v>
      </c>
      <c r="F297" s="7" t="s">
        <v>375</v>
      </c>
      <c r="G297" s="7" t="s">
        <v>3</v>
      </c>
    </row>
    <row r="298" spans="1:7">
      <c r="A298" s="7" t="s">
        <v>57</v>
      </c>
      <c r="B298" s="7" t="s">
        <v>17</v>
      </c>
      <c r="C298" s="7" t="str">
        <f>VLOOKUP(B298,Indice!$B$1:$C$22,2,0)</f>
        <v>CSET</v>
      </c>
      <c r="D298" s="7" t="str">
        <f>$A298&amp;"-"&amp;$C298&amp;"-"&amp;TEXT(COUNTIFS($A$2:$A298,$A298,$C$2:$C298,$C298),"000")</f>
        <v>F1-CSET-019</v>
      </c>
      <c r="E298" s="7" t="s">
        <v>384</v>
      </c>
      <c r="F298" s="7" t="s">
        <v>374</v>
      </c>
      <c r="G298" s="7" t="s">
        <v>3</v>
      </c>
    </row>
    <row r="299" spans="1:7">
      <c r="A299" s="7" t="s">
        <v>57</v>
      </c>
      <c r="B299" s="7" t="s">
        <v>17</v>
      </c>
      <c r="C299" s="7" t="str">
        <f>VLOOKUP(B299,Indice!$B$1:$C$22,2,0)</f>
        <v>CSET</v>
      </c>
      <c r="D299" s="7" t="str">
        <f>$A299&amp;"-"&amp;$C299&amp;"-"&amp;TEXT(COUNTIFS($A$2:$A299,$A299,$C$2:$C299,$C299),"000")</f>
        <v>F1-CSET-020</v>
      </c>
      <c r="E299" s="7" t="s">
        <v>384</v>
      </c>
      <c r="F299" s="7" t="s">
        <v>375</v>
      </c>
      <c r="G299" s="7" t="s">
        <v>3</v>
      </c>
    </row>
    <row r="300" spans="1:7">
      <c r="A300" s="7" t="s">
        <v>57</v>
      </c>
      <c r="B300" s="7" t="s">
        <v>17</v>
      </c>
      <c r="C300" s="7" t="str">
        <f>VLOOKUP(B300,Indice!$B$1:$C$22,2,0)</f>
        <v>CSET</v>
      </c>
      <c r="D300" s="7" t="str">
        <f>$A300&amp;"-"&amp;$C300&amp;"-"&amp;TEXT(COUNTIFS($A$2:$A300,$A300,$C$2:$C300,$C300),"000")</f>
        <v>F1-CSET-021</v>
      </c>
      <c r="E300" s="7" t="s">
        <v>385</v>
      </c>
      <c r="F300" s="7" t="s">
        <v>386</v>
      </c>
      <c r="G300" s="7" t="s">
        <v>3</v>
      </c>
    </row>
    <row r="301" spans="1:7">
      <c r="A301" s="7" t="s">
        <v>57</v>
      </c>
      <c r="B301" s="7" t="s">
        <v>17</v>
      </c>
      <c r="C301" s="7" t="str">
        <f>VLOOKUP(B301,Indice!$B$1:$C$22,2,0)</f>
        <v>CSET</v>
      </c>
      <c r="D301" s="7" t="str">
        <f>$A301&amp;"-"&amp;$C301&amp;"-"&amp;TEXT(COUNTIFS($A$2:$A301,$A301,$C$2:$C301,$C301),"000")</f>
        <v>F1-CSET-022</v>
      </c>
      <c r="E301" s="7" t="s">
        <v>385</v>
      </c>
      <c r="F301" s="7" t="s">
        <v>387</v>
      </c>
      <c r="G301" s="7" t="s">
        <v>3</v>
      </c>
    </row>
    <row r="302" spans="1:7">
      <c r="A302" s="7" t="s">
        <v>57</v>
      </c>
      <c r="B302" s="7" t="s">
        <v>17</v>
      </c>
      <c r="C302" s="7" t="str">
        <f>VLOOKUP(B302,Indice!$B$1:$C$22,2,0)</f>
        <v>CSET</v>
      </c>
      <c r="D302" s="7" t="str">
        <f>$A302&amp;"-"&amp;$C302&amp;"-"&amp;TEXT(COUNTIFS($A$2:$A302,$A302,$C$2:$C302,$C302),"000")</f>
        <v>F1-CSET-023</v>
      </c>
      <c r="E302" s="7" t="s">
        <v>385</v>
      </c>
      <c r="F302" s="7" t="s">
        <v>388</v>
      </c>
      <c r="G302" s="7" t="s">
        <v>3</v>
      </c>
    </row>
    <row r="303" spans="1:7">
      <c r="A303" s="7" t="s">
        <v>57</v>
      </c>
      <c r="B303" s="7" t="s">
        <v>17</v>
      </c>
      <c r="C303" s="7" t="str">
        <f>VLOOKUP(B303,Indice!$B$1:$C$22,2,0)</f>
        <v>CSET</v>
      </c>
      <c r="D303" s="7" t="str">
        <f>$A303&amp;"-"&amp;$C303&amp;"-"&amp;TEXT(COUNTIFS($A$2:$A303,$A303,$C$2:$C303,$C303),"000")</f>
        <v>F1-CSET-024</v>
      </c>
      <c r="E303" s="7" t="s">
        <v>385</v>
      </c>
      <c r="F303" s="7" t="s">
        <v>374</v>
      </c>
      <c r="G303" s="7" t="s">
        <v>3</v>
      </c>
    </row>
    <row r="304" spans="1:7">
      <c r="A304" s="7" t="s">
        <v>57</v>
      </c>
      <c r="B304" s="7" t="s">
        <v>17</v>
      </c>
      <c r="C304" s="7" t="str">
        <f>VLOOKUP(B304,Indice!$B$1:$C$22,2,0)</f>
        <v>CSET</v>
      </c>
      <c r="D304" s="7" t="str">
        <f>$A304&amp;"-"&amp;$C304&amp;"-"&amp;TEXT(COUNTIFS($A$2:$A304,$A304,$C$2:$C304,$C304),"000")</f>
        <v>F1-CSET-025</v>
      </c>
      <c r="E304" s="7" t="s">
        <v>385</v>
      </c>
      <c r="F304" s="7" t="s">
        <v>389</v>
      </c>
      <c r="G304" s="7" t="s">
        <v>3</v>
      </c>
    </row>
    <row r="305" spans="1:7">
      <c r="A305" s="7" t="s">
        <v>57</v>
      </c>
      <c r="B305" s="7" t="s">
        <v>17</v>
      </c>
      <c r="C305" s="7" t="str">
        <f>VLOOKUP(B305,Indice!$B$1:$C$22,2,0)</f>
        <v>CSET</v>
      </c>
      <c r="D305" s="7" t="str">
        <f>$A305&amp;"-"&amp;$C305&amp;"-"&amp;TEXT(COUNTIFS($A$2:$A305,$A305,$C$2:$C305,$C305),"000")</f>
        <v>F1-CSET-026</v>
      </c>
      <c r="E305" s="7" t="s">
        <v>385</v>
      </c>
      <c r="F305" s="7" t="s">
        <v>375</v>
      </c>
      <c r="G305" s="7" t="s">
        <v>3</v>
      </c>
    </row>
    <row r="306" spans="1:7">
      <c r="A306" s="7" t="s">
        <v>57</v>
      </c>
      <c r="B306" s="7" t="s">
        <v>17</v>
      </c>
      <c r="C306" s="7" t="str">
        <f>VLOOKUP(B306,Indice!$B$1:$C$22,2,0)</f>
        <v>CSET</v>
      </c>
      <c r="D306" s="7" t="str">
        <f>$A306&amp;"-"&amp;$C306&amp;"-"&amp;TEXT(COUNTIFS($A$2:$A306,$A306,$C$2:$C306,$C306),"000")</f>
        <v>F1-CSET-027</v>
      </c>
      <c r="E306" s="7" t="s">
        <v>390</v>
      </c>
      <c r="F306" s="7" t="s">
        <v>374</v>
      </c>
      <c r="G306" s="7" t="s">
        <v>3</v>
      </c>
    </row>
    <row r="307" spans="1:7">
      <c r="A307" s="7" t="s">
        <v>57</v>
      </c>
      <c r="B307" s="7" t="s">
        <v>17</v>
      </c>
      <c r="C307" s="7" t="str">
        <f>VLOOKUP(B307,Indice!$B$1:$C$22,2,0)</f>
        <v>CSET</v>
      </c>
      <c r="D307" s="7" t="str">
        <f>$A307&amp;"-"&amp;$C307&amp;"-"&amp;TEXT(COUNTIFS($A$2:$A307,$A307,$C$2:$C307,$C307),"000")</f>
        <v>F1-CSET-028</v>
      </c>
      <c r="E307" s="7" t="s">
        <v>390</v>
      </c>
      <c r="F307" s="7" t="s">
        <v>375</v>
      </c>
      <c r="G307" s="7" t="s">
        <v>3</v>
      </c>
    </row>
    <row r="308" spans="1:7">
      <c r="A308" s="7" t="s">
        <v>57</v>
      </c>
      <c r="B308" s="7" t="s">
        <v>17</v>
      </c>
      <c r="C308" s="7" t="str">
        <f>VLOOKUP(B308,Indice!$B$1:$C$22,2,0)</f>
        <v>CSET</v>
      </c>
      <c r="D308" s="7" t="str">
        <f>$A308&amp;"-"&amp;$C308&amp;"-"&amp;TEXT(COUNTIFS($A$2:$A308,$A308,$C$2:$C308,$C308),"000")</f>
        <v>F1-CSET-029</v>
      </c>
      <c r="E308" s="7" t="s">
        <v>391</v>
      </c>
      <c r="F308" s="7" t="s">
        <v>374</v>
      </c>
      <c r="G308" s="7" t="s">
        <v>3</v>
      </c>
    </row>
    <row r="309" spans="1:7">
      <c r="A309" s="7" t="s">
        <v>57</v>
      </c>
      <c r="B309" s="7" t="s">
        <v>17</v>
      </c>
      <c r="C309" s="7" t="str">
        <f>VLOOKUP(B309,Indice!$B$1:$C$22,2,0)</f>
        <v>CSET</v>
      </c>
      <c r="D309" s="7" t="str">
        <f>$A309&amp;"-"&amp;$C309&amp;"-"&amp;TEXT(COUNTIFS($A$2:$A309,$A309,$C$2:$C309,$C309),"000")</f>
        <v>F1-CSET-030</v>
      </c>
      <c r="E309" s="7" t="s">
        <v>391</v>
      </c>
      <c r="F309" s="7" t="s">
        <v>375</v>
      </c>
      <c r="G309" s="7" t="s">
        <v>3</v>
      </c>
    </row>
    <row r="310" spans="1:7">
      <c r="A310" s="7" t="s">
        <v>57</v>
      </c>
      <c r="B310" s="7" t="s">
        <v>17</v>
      </c>
      <c r="C310" s="7" t="str">
        <f>VLOOKUP(B310,Indice!$B$1:$C$22,2,0)</f>
        <v>CSET</v>
      </c>
      <c r="D310" s="7" t="str">
        <f>$A310&amp;"-"&amp;$C310&amp;"-"&amp;TEXT(COUNTIFS($A$2:$A310,$A310,$C$2:$C310,$C310),"000")</f>
        <v>F1-CSET-031</v>
      </c>
      <c r="E310" s="7" t="s">
        <v>392</v>
      </c>
      <c r="F310" s="7" t="s">
        <v>374</v>
      </c>
      <c r="G310" s="7" t="s">
        <v>3</v>
      </c>
    </row>
    <row r="311" spans="1:7">
      <c r="A311" s="7" t="s">
        <v>57</v>
      </c>
      <c r="B311" s="7" t="s">
        <v>17</v>
      </c>
      <c r="C311" s="7" t="str">
        <f>VLOOKUP(B311,Indice!$B$1:$C$22,2,0)</f>
        <v>CSET</v>
      </c>
      <c r="D311" s="7" t="str">
        <f>$A311&amp;"-"&amp;$C311&amp;"-"&amp;TEXT(COUNTIFS($A$2:$A311,$A311,$C$2:$C311,$C311),"000")</f>
        <v>F1-CSET-032</v>
      </c>
      <c r="E311" s="7" t="s">
        <v>392</v>
      </c>
      <c r="F311" s="7" t="s">
        <v>375</v>
      </c>
      <c r="G311" s="7" t="s">
        <v>3</v>
      </c>
    </row>
    <row r="312" spans="1:7">
      <c r="A312" s="7" t="s">
        <v>57</v>
      </c>
      <c r="B312" s="7" t="s">
        <v>17</v>
      </c>
      <c r="C312" s="7" t="str">
        <f>VLOOKUP(B312,Indice!$B$1:$C$22,2,0)</f>
        <v>CSET</v>
      </c>
      <c r="D312" s="7" t="str">
        <f>$A312&amp;"-"&amp;$C312&amp;"-"&amp;TEXT(COUNTIFS($A$2:$A312,$A312,$C$2:$C312,$C312),"000")</f>
        <v>F1-CSET-033</v>
      </c>
      <c r="E312" s="7" t="s">
        <v>393</v>
      </c>
      <c r="F312" s="7" t="s">
        <v>374</v>
      </c>
      <c r="G312" s="7" t="s">
        <v>3</v>
      </c>
    </row>
    <row r="313" spans="1:7">
      <c r="A313" s="7" t="s">
        <v>57</v>
      </c>
      <c r="B313" s="7" t="s">
        <v>17</v>
      </c>
      <c r="C313" s="7" t="str">
        <f>VLOOKUP(B313,Indice!$B$1:$C$22,2,0)</f>
        <v>CSET</v>
      </c>
      <c r="D313" s="7" t="str">
        <f>$A313&amp;"-"&amp;$C313&amp;"-"&amp;TEXT(COUNTIFS($A$2:$A313,$A313,$C$2:$C313,$C313),"000")</f>
        <v>F1-CSET-034</v>
      </c>
      <c r="E313" s="7" t="s">
        <v>393</v>
      </c>
      <c r="F313" s="7" t="s">
        <v>375</v>
      </c>
      <c r="G313" s="7" t="s">
        <v>3</v>
      </c>
    </row>
    <row r="314" spans="1:7">
      <c r="A314" s="7" t="s">
        <v>57</v>
      </c>
      <c r="B314" s="7" t="s">
        <v>17</v>
      </c>
      <c r="C314" s="7" t="str">
        <f>VLOOKUP(B314,Indice!$B$1:$C$22,2,0)</f>
        <v>CSET</v>
      </c>
      <c r="D314" s="7" t="str">
        <f>$A314&amp;"-"&amp;$C314&amp;"-"&amp;TEXT(COUNTIFS($A$2:$A314,$A314,$C$2:$C314,$C314),"000")</f>
        <v>F1-CSET-035</v>
      </c>
      <c r="E314" s="7" t="s">
        <v>394</v>
      </c>
      <c r="F314" s="7" t="s">
        <v>374</v>
      </c>
      <c r="G314" s="7" t="s">
        <v>3</v>
      </c>
    </row>
    <row r="315" spans="1:7">
      <c r="A315" s="7" t="s">
        <v>57</v>
      </c>
      <c r="B315" s="7" t="s">
        <v>17</v>
      </c>
      <c r="C315" s="7" t="str">
        <f>VLOOKUP(B315,Indice!$B$1:$C$22,2,0)</f>
        <v>CSET</v>
      </c>
      <c r="D315" s="7" t="str">
        <f>$A315&amp;"-"&amp;$C315&amp;"-"&amp;TEXT(COUNTIFS($A$2:$A315,$A315,$C$2:$C315,$C315),"000")</f>
        <v>F1-CSET-036</v>
      </c>
      <c r="E315" s="7" t="s">
        <v>394</v>
      </c>
      <c r="F315" s="7" t="s">
        <v>375</v>
      </c>
      <c r="G315" s="7" t="s">
        <v>3</v>
      </c>
    </row>
    <row r="316" spans="1:7">
      <c r="A316" s="7" t="s">
        <v>57</v>
      </c>
      <c r="B316" s="7" t="s">
        <v>17</v>
      </c>
      <c r="C316" s="7" t="str">
        <f>VLOOKUP(B316,Indice!$B$1:$C$22,2,0)</f>
        <v>CSET</v>
      </c>
      <c r="D316" s="7" t="str">
        <f>$A316&amp;"-"&amp;$C316&amp;"-"&amp;TEXT(COUNTIFS($A$2:$A316,$A316,$C$2:$C316,$C316),"000")</f>
        <v>F1-CSET-037</v>
      </c>
      <c r="E316" s="7" t="s">
        <v>395</v>
      </c>
      <c r="F316" s="7" t="s">
        <v>374</v>
      </c>
      <c r="G316" s="7" t="s">
        <v>3</v>
      </c>
    </row>
    <row r="317" spans="1:7">
      <c r="A317" s="7" t="s">
        <v>57</v>
      </c>
      <c r="B317" s="7" t="s">
        <v>17</v>
      </c>
      <c r="C317" s="7" t="str">
        <f>VLOOKUP(B317,Indice!$B$1:$C$22,2,0)</f>
        <v>CSET</v>
      </c>
      <c r="D317" s="7" t="str">
        <f>$A317&amp;"-"&amp;$C317&amp;"-"&amp;TEXT(COUNTIFS($A$2:$A317,$A317,$C$2:$C317,$C317),"000")</f>
        <v>F1-CSET-038</v>
      </c>
      <c r="E317" s="7" t="s">
        <v>395</v>
      </c>
      <c r="F317" s="7" t="s">
        <v>375</v>
      </c>
      <c r="G317" s="7" t="s">
        <v>3</v>
      </c>
    </row>
    <row r="318" spans="1:7">
      <c r="A318" s="7" t="s">
        <v>57</v>
      </c>
      <c r="B318" s="7" t="s">
        <v>17</v>
      </c>
      <c r="C318" s="7" t="str">
        <f>VLOOKUP(B318,Indice!$B$1:$C$22,2,0)</f>
        <v>CSET</v>
      </c>
      <c r="D318" s="7" t="str">
        <f>$A318&amp;"-"&amp;$C318&amp;"-"&amp;TEXT(COUNTIFS($A$2:$A318,$A318,$C$2:$C318,$C318),"000")</f>
        <v>F1-CSET-039</v>
      </c>
      <c r="E318" s="7" t="s">
        <v>396</v>
      </c>
      <c r="F318" s="7" t="s">
        <v>374</v>
      </c>
      <c r="G318" s="7" t="s">
        <v>3</v>
      </c>
    </row>
    <row r="319" spans="1:7">
      <c r="A319" s="7" t="s">
        <v>57</v>
      </c>
      <c r="B319" s="7" t="s">
        <v>17</v>
      </c>
      <c r="C319" s="7" t="str">
        <f>VLOOKUP(B319,Indice!$B$1:$C$22,2,0)</f>
        <v>CSET</v>
      </c>
      <c r="D319" s="7" t="str">
        <f>$A319&amp;"-"&amp;$C319&amp;"-"&amp;TEXT(COUNTIFS($A$2:$A319,$A319,$C$2:$C319,$C319),"000")</f>
        <v>F1-CSET-040</v>
      </c>
      <c r="E319" s="7" t="s">
        <v>396</v>
      </c>
      <c r="F319" s="7" t="s">
        <v>375</v>
      </c>
      <c r="G319" s="7" t="s">
        <v>3</v>
      </c>
    </row>
    <row r="320" spans="1:7">
      <c r="A320" s="7" t="s">
        <v>57</v>
      </c>
      <c r="B320" s="7" t="s">
        <v>17</v>
      </c>
      <c r="C320" s="7" t="str">
        <f>VLOOKUP(B320,Indice!$B$1:$C$22,2,0)</f>
        <v>CSET</v>
      </c>
      <c r="D320" s="7" t="str">
        <f>$A320&amp;"-"&amp;$C320&amp;"-"&amp;TEXT(COUNTIFS($A$2:$A320,$A320,$C$2:$C320,$C320),"000")</f>
        <v>F1-CSET-041</v>
      </c>
      <c r="E320" s="7" t="s">
        <v>397</v>
      </c>
      <c r="F320" s="7" t="s">
        <v>374</v>
      </c>
      <c r="G320" s="7" t="s">
        <v>3</v>
      </c>
    </row>
    <row r="321" spans="1:7">
      <c r="A321" s="7" t="s">
        <v>57</v>
      </c>
      <c r="B321" s="7" t="s">
        <v>17</v>
      </c>
      <c r="C321" s="7" t="str">
        <f>VLOOKUP(B321,Indice!$B$1:$C$22,2,0)</f>
        <v>CSET</v>
      </c>
      <c r="D321" s="7" t="str">
        <f>$A321&amp;"-"&amp;$C321&amp;"-"&amp;TEXT(COUNTIFS($A$2:$A321,$A321,$C$2:$C321,$C321),"000")</f>
        <v>F1-CSET-042</v>
      </c>
      <c r="E321" s="7" t="s">
        <v>397</v>
      </c>
      <c r="F321" s="7" t="s">
        <v>375</v>
      </c>
      <c r="G321" s="7" t="s">
        <v>3</v>
      </c>
    </row>
    <row r="322" spans="1:7">
      <c r="A322" s="7" t="s">
        <v>57</v>
      </c>
      <c r="B322" s="7" t="s">
        <v>17</v>
      </c>
      <c r="C322" s="7" t="str">
        <f>VLOOKUP(B322,Indice!$B$1:$C$22,2,0)</f>
        <v>CSET</v>
      </c>
      <c r="D322" s="7" t="str">
        <f>$A322&amp;"-"&amp;$C322&amp;"-"&amp;TEXT(COUNTIFS($A$2:$A322,$A322,$C$2:$C322,$C322),"000")</f>
        <v>F1-CSET-043</v>
      </c>
      <c r="E322" s="7" t="s">
        <v>398</v>
      </c>
      <c r="F322" s="7" t="s">
        <v>374</v>
      </c>
      <c r="G322" s="7" t="s">
        <v>3</v>
      </c>
    </row>
    <row r="323" spans="1:7">
      <c r="A323" s="7" t="s">
        <v>57</v>
      </c>
      <c r="B323" s="7" t="s">
        <v>17</v>
      </c>
      <c r="C323" s="7" t="str">
        <f>VLOOKUP(B323,Indice!$B$1:$C$22,2,0)</f>
        <v>CSET</v>
      </c>
      <c r="D323" s="7" t="str">
        <f>$A323&amp;"-"&amp;$C323&amp;"-"&amp;TEXT(COUNTIFS($A$2:$A323,$A323,$C$2:$C323,$C323),"000")</f>
        <v>F1-CSET-044</v>
      </c>
      <c r="E323" s="7" t="s">
        <v>398</v>
      </c>
      <c r="F323" s="7" t="s">
        <v>375</v>
      </c>
      <c r="G323" s="7" t="s">
        <v>3</v>
      </c>
    </row>
    <row r="324" spans="1:7">
      <c r="A324" s="7" t="s">
        <v>57</v>
      </c>
      <c r="B324" s="7" t="s">
        <v>17</v>
      </c>
      <c r="C324" s="7" t="str">
        <f>VLOOKUP(B324,Indice!$B$1:$C$22,2,0)</f>
        <v>CSET</v>
      </c>
      <c r="D324" s="7" t="str">
        <f>$A324&amp;"-"&amp;$C324&amp;"-"&amp;TEXT(COUNTIFS($A$2:$A324,$A324,$C$2:$C324,$C324),"000")</f>
        <v>F1-CSET-045</v>
      </c>
      <c r="E324" s="7" t="s">
        <v>399</v>
      </c>
      <c r="F324" s="7" t="s">
        <v>374</v>
      </c>
      <c r="G324" s="7" t="s">
        <v>3</v>
      </c>
    </row>
    <row r="325" spans="1:7">
      <c r="A325" s="7" t="s">
        <v>57</v>
      </c>
      <c r="B325" s="7" t="s">
        <v>17</v>
      </c>
      <c r="C325" s="7" t="str">
        <f>VLOOKUP(B325,Indice!$B$1:$C$22,2,0)</f>
        <v>CSET</v>
      </c>
      <c r="D325" s="7" t="str">
        <f>$A325&amp;"-"&amp;$C325&amp;"-"&amp;TEXT(COUNTIFS($A$2:$A325,$A325,$C$2:$C325,$C325),"000")</f>
        <v>F1-CSET-046</v>
      </c>
      <c r="E325" s="7" t="s">
        <v>399</v>
      </c>
      <c r="F325" s="7" t="s">
        <v>375</v>
      </c>
      <c r="G325" s="7" t="s">
        <v>3</v>
      </c>
    </row>
    <row r="326" spans="1:7">
      <c r="A326" s="7" t="s">
        <v>57</v>
      </c>
      <c r="B326" s="7" t="s">
        <v>17</v>
      </c>
      <c r="C326" s="7" t="str">
        <f>VLOOKUP(B326,Indice!$B$1:$C$22,2,0)</f>
        <v>CSET</v>
      </c>
      <c r="D326" s="7" t="str">
        <f>$A326&amp;"-"&amp;$C326&amp;"-"&amp;TEXT(COUNTIFS($A$2:$A326,$A326,$C$2:$C326,$C326),"000")</f>
        <v>F1-CSET-047</v>
      </c>
      <c r="E326" s="7" t="s">
        <v>400</v>
      </c>
      <c r="F326" s="7" t="s">
        <v>386</v>
      </c>
      <c r="G326" s="7" t="s">
        <v>3</v>
      </c>
    </row>
    <row r="327" spans="1:7">
      <c r="A327" s="7" t="s">
        <v>57</v>
      </c>
      <c r="B327" s="7" t="s">
        <v>17</v>
      </c>
      <c r="C327" s="7" t="str">
        <f>VLOOKUP(B327,Indice!$B$1:$C$22,2,0)</f>
        <v>CSET</v>
      </c>
      <c r="D327" s="7" t="str">
        <f>$A327&amp;"-"&amp;$C327&amp;"-"&amp;TEXT(COUNTIFS($A$2:$A327,$A327,$C$2:$C327,$C327),"000")</f>
        <v>F1-CSET-048</v>
      </c>
      <c r="E327" s="7" t="s">
        <v>400</v>
      </c>
      <c r="F327" s="7" t="s">
        <v>387</v>
      </c>
      <c r="G327" s="7" t="s">
        <v>3</v>
      </c>
    </row>
    <row r="328" spans="1:7">
      <c r="A328" s="7" t="s">
        <v>57</v>
      </c>
      <c r="B328" s="7" t="s">
        <v>17</v>
      </c>
      <c r="C328" s="7" t="str">
        <f>VLOOKUP(B328,Indice!$B$1:$C$22,2,0)</f>
        <v>CSET</v>
      </c>
      <c r="D328" s="7" t="str">
        <f>$A328&amp;"-"&amp;$C328&amp;"-"&amp;TEXT(COUNTIFS($A$2:$A328,$A328,$C$2:$C328,$C328),"000")</f>
        <v>F1-CSET-049</v>
      </c>
      <c r="E328" s="7" t="s">
        <v>400</v>
      </c>
      <c r="F328" s="7" t="s">
        <v>388</v>
      </c>
      <c r="G328" s="7" t="s">
        <v>3</v>
      </c>
    </row>
    <row r="329" spans="1:7">
      <c r="A329" s="7" t="s">
        <v>57</v>
      </c>
      <c r="B329" s="7" t="s">
        <v>17</v>
      </c>
      <c r="C329" s="7" t="str">
        <f>VLOOKUP(B329,Indice!$B$1:$C$22,2,0)</f>
        <v>CSET</v>
      </c>
      <c r="D329" s="7" t="str">
        <f>$A329&amp;"-"&amp;$C329&amp;"-"&amp;TEXT(COUNTIFS($A$2:$A329,$A329,$C$2:$C329,$C329),"000")</f>
        <v>F1-CSET-050</v>
      </c>
      <c r="E329" s="7" t="s">
        <v>400</v>
      </c>
      <c r="F329" s="7" t="s">
        <v>374</v>
      </c>
      <c r="G329" s="7" t="s">
        <v>3</v>
      </c>
    </row>
    <row r="330" spans="1:7">
      <c r="A330" s="7" t="s">
        <v>57</v>
      </c>
      <c r="B330" s="7" t="s">
        <v>17</v>
      </c>
      <c r="C330" s="7" t="str">
        <f>VLOOKUP(B330,Indice!$B$1:$C$22,2,0)</f>
        <v>CSET</v>
      </c>
      <c r="D330" s="7" t="str">
        <f>$A330&amp;"-"&amp;$C330&amp;"-"&amp;TEXT(COUNTIFS($A$2:$A330,$A330,$C$2:$C330,$C330),"000")</f>
        <v>F1-CSET-051</v>
      </c>
      <c r="E330" s="7" t="s">
        <v>400</v>
      </c>
      <c r="F330" s="7" t="s">
        <v>389</v>
      </c>
      <c r="G330" s="7" t="s">
        <v>3</v>
      </c>
    </row>
    <row r="331" spans="1:7">
      <c r="A331" s="7" t="s">
        <v>57</v>
      </c>
      <c r="B331" s="7" t="s">
        <v>17</v>
      </c>
      <c r="C331" s="7" t="str">
        <f>VLOOKUP(B331,Indice!$B$1:$C$22,2,0)</f>
        <v>CSET</v>
      </c>
      <c r="D331" s="7" t="str">
        <f>$A331&amp;"-"&amp;$C331&amp;"-"&amp;TEXT(COUNTIFS($A$2:$A331,$A331,$C$2:$C331,$C331),"000")</f>
        <v>F1-CSET-052</v>
      </c>
      <c r="E331" s="7" t="s">
        <v>400</v>
      </c>
      <c r="F331" s="7" t="s">
        <v>375</v>
      </c>
      <c r="G331" s="7" t="s">
        <v>3</v>
      </c>
    </row>
    <row r="332" spans="1:7">
      <c r="A332" s="7" t="s">
        <v>57</v>
      </c>
      <c r="B332" s="7" t="s">
        <v>17</v>
      </c>
      <c r="C332" s="7" t="str">
        <f>VLOOKUP(B332,Indice!$B$1:$C$22,2,0)</f>
        <v>CSET</v>
      </c>
      <c r="D332" s="7" t="str">
        <f>$A332&amp;"-"&amp;$C332&amp;"-"&amp;TEXT(COUNTIFS($A$2:$A332,$A332,$C$2:$C332,$C332),"000")</f>
        <v>F1-CSET-053</v>
      </c>
      <c r="E332" s="7" t="s">
        <v>401</v>
      </c>
      <c r="F332" s="7" t="s">
        <v>374</v>
      </c>
      <c r="G332" s="7" t="s">
        <v>3</v>
      </c>
    </row>
    <row r="333" spans="1:7">
      <c r="A333" s="7" t="s">
        <v>57</v>
      </c>
      <c r="B333" s="7" t="s">
        <v>17</v>
      </c>
      <c r="C333" s="7" t="str">
        <f>VLOOKUP(B333,Indice!$B$1:$C$22,2,0)</f>
        <v>CSET</v>
      </c>
      <c r="D333" s="7" t="str">
        <f>$A333&amp;"-"&amp;$C333&amp;"-"&amp;TEXT(COUNTIFS($A$2:$A333,$A333,$C$2:$C333,$C333),"000")</f>
        <v>F1-CSET-054</v>
      </c>
      <c r="E333" s="7" t="s">
        <v>401</v>
      </c>
      <c r="F333" s="7" t="s">
        <v>375</v>
      </c>
      <c r="G333" s="7" t="s">
        <v>3</v>
      </c>
    </row>
    <row r="334" spans="1:7">
      <c r="A334" s="7" t="s">
        <v>57</v>
      </c>
      <c r="B334" s="7" t="s">
        <v>17</v>
      </c>
      <c r="C334" s="7" t="str">
        <f>VLOOKUP(B334,Indice!$B$1:$C$22,2,0)</f>
        <v>CSET</v>
      </c>
      <c r="D334" s="7" t="str">
        <f>$A334&amp;"-"&amp;$C334&amp;"-"&amp;TEXT(COUNTIFS($A$2:$A334,$A334,$C$2:$C334,$C334),"000")</f>
        <v>F1-CSET-055</v>
      </c>
      <c r="E334" s="7" t="s">
        <v>402</v>
      </c>
      <c r="F334" s="7" t="s">
        <v>374</v>
      </c>
      <c r="G334" s="7" t="s">
        <v>3</v>
      </c>
    </row>
    <row r="335" spans="1:7">
      <c r="A335" s="7" t="s">
        <v>57</v>
      </c>
      <c r="B335" s="7" t="s">
        <v>17</v>
      </c>
      <c r="C335" s="7" t="str">
        <f>VLOOKUP(B335,Indice!$B$1:$C$22,2,0)</f>
        <v>CSET</v>
      </c>
      <c r="D335" s="7" t="str">
        <f>$A335&amp;"-"&amp;$C335&amp;"-"&amp;TEXT(COUNTIFS($A$2:$A335,$A335,$C$2:$C335,$C335),"000")</f>
        <v>F1-CSET-056</v>
      </c>
      <c r="E335" s="7" t="s">
        <v>402</v>
      </c>
      <c r="F335" s="7" t="s">
        <v>375</v>
      </c>
      <c r="G335" s="7" t="s">
        <v>3</v>
      </c>
    </row>
    <row r="336" spans="1:7">
      <c r="A336" s="7" t="s">
        <v>57</v>
      </c>
      <c r="B336" s="7" t="s">
        <v>17</v>
      </c>
      <c r="C336" s="7" t="str">
        <f>VLOOKUP(B336,Indice!$B$1:$C$22,2,0)</f>
        <v>CSET</v>
      </c>
      <c r="D336" s="7" t="str">
        <f>$A336&amp;"-"&amp;$C336&amp;"-"&amp;TEXT(COUNTIFS($A$2:$A336,$A336,$C$2:$C336,$C336),"000")</f>
        <v>F1-CSET-057</v>
      </c>
      <c r="E336" s="7" t="s">
        <v>403</v>
      </c>
      <c r="F336" s="7" t="s">
        <v>374</v>
      </c>
      <c r="G336" s="7" t="s">
        <v>3</v>
      </c>
    </row>
    <row r="337" spans="1:7">
      <c r="A337" s="7" t="s">
        <v>57</v>
      </c>
      <c r="B337" s="7" t="s">
        <v>17</v>
      </c>
      <c r="C337" s="7" t="str">
        <f>VLOOKUP(B337,Indice!$B$1:$C$22,2,0)</f>
        <v>CSET</v>
      </c>
      <c r="D337" s="7" t="str">
        <f>$A337&amp;"-"&amp;$C337&amp;"-"&amp;TEXT(COUNTIFS($A$2:$A337,$A337,$C$2:$C337,$C337),"000")</f>
        <v>F1-CSET-058</v>
      </c>
      <c r="E337" s="7" t="s">
        <v>403</v>
      </c>
      <c r="F337" s="7" t="s">
        <v>375</v>
      </c>
      <c r="G337" s="7" t="s">
        <v>3</v>
      </c>
    </row>
    <row r="338" spans="1:7">
      <c r="A338" s="7" t="s">
        <v>57</v>
      </c>
      <c r="B338" s="7" t="s">
        <v>17</v>
      </c>
      <c r="C338" s="7" t="str">
        <f>VLOOKUP(B338,Indice!$B$1:$C$22,2,0)</f>
        <v>CSET</v>
      </c>
      <c r="D338" s="7" t="str">
        <f>$A338&amp;"-"&amp;$C338&amp;"-"&amp;TEXT(COUNTIFS($A$2:$A338,$A338,$C$2:$C338,$C338),"000")</f>
        <v>F1-CSET-059</v>
      </c>
      <c r="E338" s="7" t="s">
        <v>404</v>
      </c>
      <c r="F338" s="7" t="s">
        <v>374</v>
      </c>
      <c r="G338" s="7" t="s">
        <v>3</v>
      </c>
    </row>
    <row r="339" spans="1:7">
      <c r="A339" s="7" t="s">
        <v>57</v>
      </c>
      <c r="B339" s="7" t="s">
        <v>17</v>
      </c>
      <c r="C339" s="7" t="str">
        <f>VLOOKUP(B339,Indice!$B$1:$C$22,2,0)</f>
        <v>CSET</v>
      </c>
      <c r="D339" s="7" t="str">
        <f>$A339&amp;"-"&amp;$C339&amp;"-"&amp;TEXT(COUNTIFS($A$2:$A339,$A339,$C$2:$C339,$C339),"000")</f>
        <v>F1-CSET-060</v>
      </c>
      <c r="E339" s="7" t="s">
        <v>404</v>
      </c>
      <c r="F339" s="7" t="s">
        <v>375</v>
      </c>
      <c r="G339" s="7" t="s">
        <v>3</v>
      </c>
    </row>
    <row r="340" spans="1:7">
      <c r="A340" s="7" t="s">
        <v>57</v>
      </c>
      <c r="B340" s="7" t="s">
        <v>17</v>
      </c>
      <c r="C340" s="7" t="str">
        <f>VLOOKUP(B340,Indice!$B$1:$C$22,2,0)</f>
        <v>CSET</v>
      </c>
      <c r="D340" s="7" t="str">
        <f>$A340&amp;"-"&amp;$C340&amp;"-"&amp;TEXT(COUNTIFS($A$2:$A340,$A340,$C$2:$C340,$C340),"000")</f>
        <v>F1-CSET-061</v>
      </c>
      <c r="E340" s="7" t="s">
        <v>405</v>
      </c>
      <c r="F340" s="7" t="s">
        <v>374</v>
      </c>
      <c r="G340" s="7" t="s">
        <v>3</v>
      </c>
    </row>
    <row r="341" spans="1:7">
      <c r="A341" s="7" t="s">
        <v>57</v>
      </c>
      <c r="B341" s="7" t="s">
        <v>17</v>
      </c>
      <c r="C341" s="7" t="str">
        <f>VLOOKUP(B341,Indice!$B$1:$C$22,2,0)</f>
        <v>CSET</v>
      </c>
      <c r="D341" s="7" t="str">
        <f>$A341&amp;"-"&amp;$C341&amp;"-"&amp;TEXT(COUNTIFS($A$2:$A341,$A341,$C$2:$C341,$C341),"000")</f>
        <v>F1-CSET-062</v>
      </c>
      <c r="E341" s="7" t="s">
        <v>405</v>
      </c>
      <c r="F341" s="7" t="s">
        <v>375</v>
      </c>
      <c r="G341" s="7" t="s">
        <v>3</v>
      </c>
    </row>
    <row r="342" spans="1:7">
      <c r="A342" s="7" t="s">
        <v>57</v>
      </c>
      <c r="B342" s="7" t="s">
        <v>17</v>
      </c>
      <c r="C342" s="7" t="str">
        <f>VLOOKUP(B342,Indice!$B$1:$C$22,2,0)</f>
        <v>CSET</v>
      </c>
      <c r="D342" s="7" t="str">
        <f>$A342&amp;"-"&amp;$C342&amp;"-"&amp;TEXT(COUNTIFS($A$2:$A342,$A342,$C$2:$C342,$C342),"000")</f>
        <v>F1-CSET-063</v>
      </c>
      <c r="E342" s="7" t="s">
        <v>406</v>
      </c>
      <c r="F342" s="7" t="s">
        <v>374</v>
      </c>
      <c r="G342" s="7" t="s">
        <v>3</v>
      </c>
    </row>
    <row r="343" spans="1:7">
      <c r="A343" s="7" t="s">
        <v>57</v>
      </c>
      <c r="B343" s="7" t="s">
        <v>17</v>
      </c>
      <c r="C343" s="7" t="str">
        <f>VLOOKUP(B343,Indice!$B$1:$C$22,2,0)</f>
        <v>CSET</v>
      </c>
      <c r="D343" s="7" t="str">
        <f>$A343&amp;"-"&amp;$C343&amp;"-"&amp;TEXT(COUNTIFS($A$2:$A343,$A343,$C$2:$C343,$C343),"000")</f>
        <v>F1-CSET-064</v>
      </c>
      <c r="E343" s="7" t="s">
        <v>406</v>
      </c>
      <c r="F343" s="7" t="s">
        <v>375</v>
      </c>
      <c r="G343" s="7" t="s">
        <v>3</v>
      </c>
    </row>
    <row r="344" spans="1:7">
      <c r="A344" s="7" t="s">
        <v>57</v>
      </c>
      <c r="B344" s="7" t="s">
        <v>17</v>
      </c>
      <c r="C344" s="7" t="str">
        <f>VLOOKUP(B344,Indice!$B$1:$C$22,2,0)</f>
        <v>CSET</v>
      </c>
      <c r="D344" s="7" t="str">
        <f>$A344&amp;"-"&amp;$C344&amp;"-"&amp;TEXT(COUNTIFS($A$2:$A344,$A344,$C$2:$C344,$C344),"000")</f>
        <v>F1-CSET-065</v>
      </c>
      <c r="E344" s="7" t="s">
        <v>407</v>
      </c>
      <c r="F344" s="7" t="s">
        <v>374</v>
      </c>
      <c r="G344" s="7" t="s">
        <v>3</v>
      </c>
    </row>
    <row r="345" spans="1:7">
      <c r="A345" s="7" t="s">
        <v>57</v>
      </c>
      <c r="B345" s="7" t="s">
        <v>17</v>
      </c>
      <c r="C345" s="7" t="str">
        <f>VLOOKUP(B345,Indice!$B$1:$C$22,2,0)</f>
        <v>CSET</v>
      </c>
      <c r="D345" s="7" t="str">
        <f>$A345&amp;"-"&amp;$C345&amp;"-"&amp;TEXT(COUNTIFS($A$2:$A345,$A345,$C$2:$C345,$C345),"000")</f>
        <v>F1-CSET-066</v>
      </c>
      <c r="E345" s="7" t="s">
        <v>407</v>
      </c>
      <c r="F345" s="7" t="s">
        <v>375</v>
      </c>
      <c r="G345" s="7" t="s">
        <v>3</v>
      </c>
    </row>
    <row r="346" spans="1:7">
      <c r="A346" s="7" t="s">
        <v>57</v>
      </c>
      <c r="B346" s="7" t="s">
        <v>17</v>
      </c>
      <c r="C346" s="7" t="str">
        <f>VLOOKUP(B346,Indice!$B$1:$C$22,2,0)</f>
        <v>CSET</v>
      </c>
      <c r="D346" s="7" t="str">
        <f>$A346&amp;"-"&amp;$C346&amp;"-"&amp;TEXT(COUNTIFS($A$2:$A346,$A346,$C$2:$C346,$C346),"000")</f>
        <v>F1-CSET-067</v>
      </c>
      <c r="E346" s="7" t="s">
        <v>408</v>
      </c>
      <c r="F346" s="7" t="s">
        <v>374</v>
      </c>
      <c r="G346" s="7" t="s">
        <v>3</v>
      </c>
    </row>
    <row r="347" spans="1:7">
      <c r="A347" s="7" t="s">
        <v>57</v>
      </c>
      <c r="B347" s="7" t="s">
        <v>17</v>
      </c>
      <c r="C347" s="7" t="str">
        <f>VLOOKUP(B347,Indice!$B$1:$C$22,2,0)</f>
        <v>CSET</v>
      </c>
      <c r="D347" s="7" t="str">
        <f>$A347&amp;"-"&amp;$C347&amp;"-"&amp;TEXT(COUNTIFS($A$2:$A347,$A347,$C$2:$C347,$C347),"000")</f>
        <v>F1-CSET-068</v>
      </c>
      <c r="E347" s="7" t="s">
        <v>408</v>
      </c>
      <c r="F347" s="7" t="s">
        <v>375</v>
      </c>
      <c r="G347" s="7" t="s">
        <v>3</v>
      </c>
    </row>
    <row r="348" spans="1:7">
      <c r="A348" s="7" t="s">
        <v>57</v>
      </c>
      <c r="B348" s="7" t="s">
        <v>17</v>
      </c>
      <c r="C348" s="7" t="str">
        <f>VLOOKUP(B348,Indice!$B$1:$C$22,2,0)</f>
        <v>CSET</v>
      </c>
      <c r="D348" s="7" t="str">
        <f>$A348&amp;"-"&amp;$C348&amp;"-"&amp;TEXT(COUNTIFS($A$2:$A348,$A348,$C$2:$C348,$C348),"000")</f>
        <v>F1-CSET-069</v>
      </c>
      <c r="E348" s="7" t="s">
        <v>409</v>
      </c>
      <c r="F348" s="7" t="s">
        <v>374</v>
      </c>
      <c r="G348" s="7" t="s">
        <v>3</v>
      </c>
    </row>
    <row r="349" spans="1:7">
      <c r="A349" s="7" t="s">
        <v>57</v>
      </c>
      <c r="B349" s="7" t="s">
        <v>17</v>
      </c>
      <c r="C349" s="7" t="str">
        <f>VLOOKUP(B349,Indice!$B$1:$C$22,2,0)</f>
        <v>CSET</v>
      </c>
      <c r="D349" s="7" t="str">
        <f>$A349&amp;"-"&amp;$C349&amp;"-"&amp;TEXT(COUNTIFS($A$2:$A349,$A349,$C$2:$C349,$C349),"000")</f>
        <v>F1-CSET-070</v>
      </c>
      <c r="E349" s="7" t="s">
        <v>409</v>
      </c>
      <c r="F349" s="7" t="s">
        <v>375</v>
      </c>
      <c r="G349" s="7" t="s">
        <v>3</v>
      </c>
    </row>
    <row r="350" spans="1:7">
      <c r="A350" s="7" t="s">
        <v>57</v>
      </c>
      <c r="B350" s="7" t="s">
        <v>17</v>
      </c>
      <c r="C350" s="7" t="str">
        <f>VLOOKUP(B350,Indice!$B$1:$C$22,2,0)</f>
        <v>CSET</v>
      </c>
      <c r="D350" s="7" t="str">
        <f>$A350&amp;"-"&amp;$C350&amp;"-"&amp;TEXT(COUNTIFS($A$2:$A350,$A350,$C$2:$C350,$C350),"000")</f>
        <v>F1-CSET-071</v>
      </c>
      <c r="E350" s="7" t="s">
        <v>410</v>
      </c>
      <c r="F350" s="7" t="s">
        <v>374</v>
      </c>
      <c r="G350" s="7" t="s">
        <v>3</v>
      </c>
    </row>
    <row r="351" spans="1:7">
      <c r="A351" s="7" t="s">
        <v>57</v>
      </c>
      <c r="B351" s="7" t="s">
        <v>17</v>
      </c>
      <c r="C351" s="7" t="str">
        <f>VLOOKUP(B351,Indice!$B$1:$C$22,2,0)</f>
        <v>CSET</v>
      </c>
      <c r="D351" s="7" t="str">
        <f>$A351&amp;"-"&amp;$C351&amp;"-"&amp;TEXT(COUNTIFS($A$2:$A351,$A351,$C$2:$C351,$C351),"000")</f>
        <v>F1-CSET-072</v>
      </c>
      <c r="E351" s="7" t="s">
        <v>410</v>
      </c>
      <c r="F351" s="7" t="s">
        <v>375</v>
      </c>
      <c r="G351" s="7" t="s">
        <v>3</v>
      </c>
    </row>
    <row r="352" spans="1:7">
      <c r="A352" s="7" t="s">
        <v>57</v>
      </c>
      <c r="B352" s="7" t="s">
        <v>17</v>
      </c>
      <c r="C352" s="7" t="str">
        <f>VLOOKUP(B352,Indice!$B$1:$C$22,2,0)</f>
        <v>CSET</v>
      </c>
      <c r="D352" s="7" t="str">
        <f>$A352&amp;"-"&amp;$C352&amp;"-"&amp;TEXT(COUNTIFS($A$2:$A352,$A352,$C$2:$C352,$C352),"000")</f>
        <v>F1-CSET-073</v>
      </c>
      <c r="E352" s="7" t="s">
        <v>411</v>
      </c>
      <c r="F352" s="7" t="s">
        <v>386</v>
      </c>
      <c r="G352" s="7" t="s">
        <v>3</v>
      </c>
    </row>
    <row r="353" spans="1:7">
      <c r="A353" s="7" t="s">
        <v>57</v>
      </c>
      <c r="B353" s="7" t="s">
        <v>17</v>
      </c>
      <c r="C353" s="7" t="str">
        <f>VLOOKUP(B353,Indice!$B$1:$C$22,2,0)</f>
        <v>CSET</v>
      </c>
      <c r="D353" s="7" t="str">
        <f>$A353&amp;"-"&amp;$C353&amp;"-"&amp;TEXT(COUNTIFS($A$2:$A353,$A353,$C$2:$C353,$C353),"000")</f>
        <v>F1-CSET-074</v>
      </c>
      <c r="E353" s="7" t="s">
        <v>411</v>
      </c>
      <c r="F353" s="7" t="s">
        <v>387</v>
      </c>
      <c r="G353" s="7" t="s">
        <v>3</v>
      </c>
    </row>
    <row r="354" spans="1:7">
      <c r="A354" s="7" t="s">
        <v>57</v>
      </c>
      <c r="B354" s="7" t="s">
        <v>17</v>
      </c>
      <c r="C354" s="7" t="str">
        <f>VLOOKUP(B354,Indice!$B$1:$C$22,2,0)</f>
        <v>CSET</v>
      </c>
      <c r="D354" s="7" t="str">
        <f>$A354&amp;"-"&amp;$C354&amp;"-"&amp;TEXT(COUNTIFS($A$2:$A354,$A354,$C$2:$C354,$C354),"000")</f>
        <v>F1-CSET-075</v>
      </c>
      <c r="E354" s="7" t="s">
        <v>411</v>
      </c>
      <c r="F354" s="7" t="s">
        <v>388</v>
      </c>
      <c r="G354" s="7" t="s">
        <v>3</v>
      </c>
    </row>
    <row r="355" spans="1:7">
      <c r="A355" s="7" t="s">
        <v>57</v>
      </c>
      <c r="B355" s="7" t="s">
        <v>17</v>
      </c>
      <c r="C355" s="7" t="str">
        <f>VLOOKUP(B355,Indice!$B$1:$C$22,2,0)</f>
        <v>CSET</v>
      </c>
      <c r="D355" s="7" t="str">
        <f>$A355&amp;"-"&amp;$C355&amp;"-"&amp;TEXT(COUNTIFS($A$2:$A355,$A355,$C$2:$C355,$C355),"000")</f>
        <v>F1-CSET-076</v>
      </c>
      <c r="E355" s="7" t="s">
        <v>411</v>
      </c>
      <c r="F355" s="7" t="s">
        <v>374</v>
      </c>
      <c r="G355" s="7" t="s">
        <v>3</v>
      </c>
    </row>
    <row r="356" spans="1:7">
      <c r="A356" s="7" t="s">
        <v>57</v>
      </c>
      <c r="B356" s="7" t="s">
        <v>17</v>
      </c>
      <c r="C356" s="7" t="str">
        <f>VLOOKUP(B356,Indice!$B$1:$C$22,2,0)</f>
        <v>CSET</v>
      </c>
      <c r="D356" s="7" t="str">
        <f>$A356&amp;"-"&amp;$C356&amp;"-"&amp;TEXT(COUNTIFS($A$2:$A356,$A356,$C$2:$C356,$C356),"000")</f>
        <v>F1-CSET-077</v>
      </c>
      <c r="E356" s="7" t="s">
        <v>411</v>
      </c>
      <c r="F356" s="7" t="s">
        <v>389</v>
      </c>
      <c r="G356" s="7" t="s">
        <v>3</v>
      </c>
    </row>
    <row r="357" spans="1:7">
      <c r="A357" s="7" t="s">
        <v>57</v>
      </c>
      <c r="B357" s="7" t="s">
        <v>17</v>
      </c>
      <c r="C357" s="7" t="str">
        <f>VLOOKUP(B357,Indice!$B$1:$C$22,2,0)</f>
        <v>CSET</v>
      </c>
      <c r="D357" s="7" t="str">
        <f>$A357&amp;"-"&amp;$C357&amp;"-"&amp;TEXT(COUNTIFS($A$2:$A357,$A357,$C$2:$C357,$C357),"000")</f>
        <v>F1-CSET-078</v>
      </c>
      <c r="E357" s="7" t="s">
        <v>411</v>
      </c>
      <c r="F357" s="7" t="s">
        <v>375</v>
      </c>
      <c r="G357" s="7" t="s">
        <v>3</v>
      </c>
    </row>
    <row r="358" spans="1:7">
      <c r="A358" s="7" t="s">
        <v>57</v>
      </c>
      <c r="B358" s="7" t="s">
        <v>17</v>
      </c>
      <c r="C358" s="7" t="str">
        <f>VLOOKUP(B358,Indice!$B$1:$C$22,2,0)</f>
        <v>CSET</v>
      </c>
      <c r="D358" s="7" t="str">
        <f>$A358&amp;"-"&amp;$C358&amp;"-"&amp;TEXT(COUNTIFS($A$2:$A358,$A358,$C$2:$C358,$C358),"000")</f>
        <v>F1-CSET-079</v>
      </c>
      <c r="E358" s="7" t="s">
        <v>412</v>
      </c>
      <c r="F358" s="7" t="s">
        <v>374</v>
      </c>
      <c r="G358" s="7" t="s">
        <v>3</v>
      </c>
    </row>
    <row r="359" spans="1:7">
      <c r="A359" s="7" t="s">
        <v>57</v>
      </c>
      <c r="B359" s="7" t="s">
        <v>17</v>
      </c>
      <c r="C359" s="7" t="str">
        <f>VLOOKUP(B359,Indice!$B$1:$C$22,2,0)</f>
        <v>CSET</v>
      </c>
      <c r="D359" s="7" t="str">
        <f>$A359&amp;"-"&amp;$C359&amp;"-"&amp;TEXT(COUNTIFS($A$2:$A359,$A359,$C$2:$C359,$C359),"000")</f>
        <v>F1-CSET-080</v>
      </c>
      <c r="E359" s="7" t="s">
        <v>412</v>
      </c>
      <c r="F359" s="7" t="s">
        <v>375</v>
      </c>
      <c r="G359" s="7" t="s">
        <v>3</v>
      </c>
    </row>
    <row r="360" spans="1:7">
      <c r="A360" s="7" t="s">
        <v>57</v>
      </c>
      <c r="B360" s="7" t="s">
        <v>17</v>
      </c>
      <c r="C360" s="7" t="str">
        <f>VLOOKUP(B360,Indice!$B$1:$C$22,2,0)</f>
        <v>CSET</v>
      </c>
      <c r="D360" s="7" t="str">
        <f>$A360&amp;"-"&amp;$C360&amp;"-"&amp;TEXT(COUNTIFS($A$2:$A360,$A360,$C$2:$C360,$C360),"000")</f>
        <v>F1-CSET-081</v>
      </c>
      <c r="E360" s="7" t="s">
        <v>413</v>
      </c>
      <c r="F360" s="7" t="s">
        <v>374</v>
      </c>
      <c r="G360" s="7" t="s">
        <v>3</v>
      </c>
    </row>
    <row r="361" spans="1:7">
      <c r="A361" s="7" t="s">
        <v>57</v>
      </c>
      <c r="B361" s="7" t="s">
        <v>17</v>
      </c>
      <c r="C361" s="7" t="str">
        <f>VLOOKUP(B361,Indice!$B$1:$C$22,2,0)</f>
        <v>CSET</v>
      </c>
      <c r="D361" s="7" t="str">
        <f>$A361&amp;"-"&amp;$C361&amp;"-"&amp;TEXT(COUNTIFS($A$2:$A361,$A361,$C$2:$C361,$C361),"000")</f>
        <v>F1-CSET-082</v>
      </c>
      <c r="E361" s="7" t="s">
        <v>413</v>
      </c>
      <c r="F361" s="7" t="s">
        <v>375</v>
      </c>
      <c r="G361" s="7" t="s">
        <v>3</v>
      </c>
    </row>
    <row r="362" spans="1:7">
      <c r="A362" s="7" t="s">
        <v>57</v>
      </c>
      <c r="B362" s="7" t="s">
        <v>17</v>
      </c>
      <c r="C362" s="7" t="str">
        <f>VLOOKUP(B362,Indice!$B$1:$C$22,2,0)</f>
        <v>CSET</v>
      </c>
      <c r="D362" s="7" t="str">
        <f>$A362&amp;"-"&amp;$C362&amp;"-"&amp;TEXT(COUNTIFS($A$2:$A362,$A362,$C$2:$C362,$C362),"000")</f>
        <v>F1-CSET-083</v>
      </c>
      <c r="E362" s="7" t="s">
        <v>414</v>
      </c>
      <c r="F362" s="7" t="s">
        <v>374</v>
      </c>
      <c r="G362" s="7" t="s">
        <v>3</v>
      </c>
    </row>
    <row r="363" spans="1:7">
      <c r="A363" s="7" t="s">
        <v>57</v>
      </c>
      <c r="B363" s="7" t="s">
        <v>17</v>
      </c>
      <c r="C363" s="7" t="str">
        <f>VLOOKUP(B363,Indice!$B$1:$C$22,2,0)</f>
        <v>CSET</v>
      </c>
      <c r="D363" s="7" t="str">
        <f>$A363&amp;"-"&amp;$C363&amp;"-"&amp;TEXT(COUNTIFS($A$2:$A363,$A363,$C$2:$C363,$C363),"000")</f>
        <v>F1-CSET-084</v>
      </c>
      <c r="E363" s="7" t="s">
        <v>414</v>
      </c>
      <c r="F363" s="7" t="s">
        <v>375</v>
      </c>
      <c r="G363" s="7" t="s">
        <v>3</v>
      </c>
    </row>
    <row r="364" spans="1:7">
      <c r="A364" s="7" t="s">
        <v>57</v>
      </c>
      <c r="B364" s="7" t="s">
        <v>17</v>
      </c>
      <c r="C364" s="7" t="str">
        <f>VLOOKUP(B364,Indice!$B$1:$C$22,2,0)</f>
        <v>CSET</v>
      </c>
      <c r="D364" s="7" t="str">
        <f>$A364&amp;"-"&amp;$C364&amp;"-"&amp;TEXT(COUNTIFS($A$2:$A364,$A364,$C$2:$C364,$C364),"000")</f>
        <v>F1-CSET-085</v>
      </c>
      <c r="E364" s="7" t="s">
        <v>415</v>
      </c>
      <c r="F364" s="7" t="s">
        <v>374</v>
      </c>
      <c r="G364" s="7" t="s">
        <v>3</v>
      </c>
    </row>
    <row r="365" spans="1:7">
      <c r="A365" s="7" t="s">
        <v>57</v>
      </c>
      <c r="B365" s="7" t="s">
        <v>17</v>
      </c>
      <c r="C365" s="7" t="str">
        <f>VLOOKUP(B365,Indice!$B$1:$C$22,2,0)</f>
        <v>CSET</v>
      </c>
      <c r="D365" s="7" t="str">
        <f>$A365&amp;"-"&amp;$C365&amp;"-"&amp;TEXT(COUNTIFS($A$2:$A365,$A365,$C$2:$C365,$C365),"000")</f>
        <v>F1-CSET-086</v>
      </c>
      <c r="E365" s="7" t="s">
        <v>415</v>
      </c>
      <c r="F365" s="7" t="s">
        <v>375</v>
      </c>
      <c r="G365" s="7" t="s">
        <v>3</v>
      </c>
    </row>
    <row r="366" spans="1:7">
      <c r="A366" s="7" t="s">
        <v>57</v>
      </c>
      <c r="B366" s="7" t="s">
        <v>17</v>
      </c>
      <c r="C366" s="7" t="str">
        <f>VLOOKUP(B366,Indice!$B$1:$C$22,2,0)</f>
        <v>CSET</v>
      </c>
      <c r="D366" s="7" t="str">
        <f>$A366&amp;"-"&amp;$C366&amp;"-"&amp;TEXT(COUNTIFS($A$2:$A366,$A366,$C$2:$C366,$C366),"000")</f>
        <v>F1-CSET-087</v>
      </c>
      <c r="E366" s="7" t="s">
        <v>416</v>
      </c>
      <c r="F366" s="7" t="s">
        <v>374</v>
      </c>
      <c r="G366" s="7" t="s">
        <v>3</v>
      </c>
    </row>
    <row r="367" spans="1:7">
      <c r="A367" s="7" t="s">
        <v>57</v>
      </c>
      <c r="B367" s="7" t="s">
        <v>17</v>
      </c>
      <c r="C367" s="7" t="str">
        <f>VLOOKUP(B367,Indice!$B$1:$C$22,2,0)</f>
        <v>CSET</v>
      </c>
      <c r="D367" s="7" t="str">
        <f>$A367&amp;"-"&amp;$C367&amp;"-"&amp;TEXT(COUNTIFS($A$2:$A367,$A367,$C$2:$C367,$C367),"000")</f>
        <v>F1-CSET-088</v>
      </c>
      <c r="E367" s="7" t="s">
        <v>416</v>
      </c>
      <c r="F367" s="7" t="s">
        <v>375</v>
      </c>
      <c r="G367" s="7" t="s">
        <v>3</v>
      </c>
    </row>
    <row r="368" spans="1:7">
      <c r="A368" s="7" t="s">
        <v>57</v>
      </c>
      <c r="B368" s="7" t="s">
        <v>17</v>
      </c>
      <c r="C368" s="7" t="str">
        <f>VLOOKUP(B368,Indice!$B$1:$C$22,2,0)</f>
        <v>CSET</v>
      </c>
      <c r="D368" s="7" t="str">
        <f>$A368&amp;"-"&amp;$C368&amp;"-"&amp;TEXT(COUNTIFS($A$2:$A368,$A368,$C$2:$C368,$C368),"000")</f>
        <v>F1-CSET-089</v>
      </c>
      <c r="E368" s="7" t="s">
        <v>417</v>
      </c>
      <c r="F368" s="7" t="s">
        <v>374</v>
      </c>
      <c r="G368" s="7" t="s">
        <v>3</v>
      </c>
    </row>
    <row r="369" spans="1:7">
      <c r="A369" s="7" t="s">
        <v>57</v>
      </c>
      <c r="B369" s="7" t="s">
        <v>17</v>
      </c>
      <c r="C369" s="7" t="str">
        <f>VLOOKUP(B369,Indice!$B$1:$C$22,2,0)</f>
        <v>CSET</v>
      </c>
      <c r="D369" s="7" t="str">
        <f>$A369&amp;"-"&amp;$C369&amp;"-"&amp;TEXT(COUNTIFS($A$2:$A369,$A369,$C$2:$C369,$C369),"000")</f>
        <v>F1-CSET-090</v>
      </c>
      <c r="E369" s="7" t="s">
        <v>417</v>
      </c>
      <c r="F369" s="7" t="s">
        <v>375</v>
      </c>
      <c r="G369" s="7" t="s">
        <v>3</v>
      </c>
    </row>
    <row r="370" spans="1:7">
      <c r="A370" s="7" t="s">
        <v>57</v>
      </c>
      <c r="B370" s="7" t="s">
        <v>17</v>
      </c>
      <c r="C370" s="7" t="str">
        <f>VLOOKUP(B370,Indice!$B$1:$C$22,2,0)</f>
        <v>CSET</v>
      </c>
      <c r="D370" s="7" t="str">
        <f>$A370&amp;"-"&amp;$C370&amp;"-"&amp;TEXT(COUNTIFS($A$2:$A370,$A370,$C$2:$C370,$C370),"000")</f>
        <v>F1-CSET-091</v>
      </c>
      <c r="E370" s="7" t="s">
        <v>418</v>
      </c>
      <c r="F370" s="7" t="s">
        <v>374</v>
      </c>
      <c r="G370" s="7" t="s">
        <v>3</v>
      </c>
    </row>
    <row r="371" spans="1:7">
      <c r="A371" s="7" t="s">
        <v>57</v>
      </c>
      <c r="B371" s="7" t="s">
        <v>17</v>
      </c>
      <c r="C371" s="7" t="str">
        <f>VLOOKUP(B371,Indice!$B$1:$C$22,2,0)</f>
        <v>CSET</v>
      </c>
      <c r="D371" s="7" t="str">
        <f>$A371&amp;"-"&amp;$C371&amp;"-"&amp;TEXT(COUNTIFS($A$2:$A371,$A371,$C$2:$C371,$C371),"000")</f>
        <v>F1-CSET-092</v>
      </c>
      <c r="E371" s="7" t="s">
        <v>418</v>
      </c>
      <c r="F371" s="7" t="s">
        <v>375</v>
      </c>
      <c r="G371" s="7" t="s">
        <v>3</v>
      </c>
    </row>
    <row r="372" spans="1:7">
      <c r="A372" s="7" t="s">
        <v>57</v>
      </c>
      <c r="B372" s="7" t="s">
        <v>17</v>
      </c>
      <c r="C372" s="7" t="str">
        <f>VLOOKUP(B372,Indice!$B$1:$C$22,2,0)</f>
        <v>CSET</v>
      </c>
      <c r="D372" s="7" t="str">
        <f>$A372&amp;"-"&amp;$C372&amp;"-"&amp;TEXT(COUNTIFS($A$2:$A372,$A372,$C$2:$C372,$C372),"000")</f>
        <v>F1-CSET-093</v>
      </c>
      <c r="E372" s="7" t="s">
        <v>419</v>
      </c>
      <c r="F372" s="7" t="s">
        <v>374</v>
      </c>
      <c r="G372" s="7" t="s">
        <v>3</v>
      </c>
    </row>
    <row r="373" spans="1:7">
      <c r="A373" s="7" t="s">
        <v>57</v>
      </c>
      <c r="B373" s="7" t="s">
        <v>17</v>
      </c>
      <c r="C373" s="7" t="str">
        <f>VLOOKUP(B373,Indice!$B$1:$C$22,2,0)</f>
        <v>CSET</v>
      </c>
      <c r="D373" s="7" t="str">
        <f>$A373&amp;"-"&amp;$C373&amp;"-"&amp;TEXT(COUNTIFS($A$2:$A373,$A373,$C$2:$C373,$C373),"000")</f>
        <v>F1-CSET-094</v>
      </c>
      <c r="E373" s="7" t="s">
        <v>420</v>
      </c>
      <c r="F373" s="7" t="s">
        <v>374</v>
      </c>
      <c r="G373" s="7" t="s">
        <v>3</v>
      </c>
    </row>
    <row r="374" spans="1:7">
      <c r="A374" s="7" t="s">
        <v>57</v>
      </c>
      <c r="B374" s="7" t="s">
        <v>17</v>
      </c>
      <c r="C374" s="7" t="str">
        <f>VLOOKUP(B374,Indice!$B$1:$C$22,2,0)</f>
        <v>CSET</v>
      </c>
      <c r="D374" s="7" t="str">
        <f>$A374&amp;"-"&amp;$C374&amp;"-"&amp;TEXT(COUNTIFS($A$2:$A374,$A374,$C$2:$C374,$C374),"000")</f>
        <v>F1-CSET-095</v>
      </c>
      <c r="E374" s="7" t="s">
        <v>421</v>
      </c>
      <c r="F374" s="7" t="s">
        <v>374</v>
      </c>
      <c r="G374" s="7" t="s">
        <v>3</v>
      </c>
    </row>
    <row r="375" spans="1:7">
      <c r="A375" s="7" t="s">
        <v>57</v>
      </c>
      <c r="B375" s="7" t="s">
        <v>17</v>
      </c>
      <c r="C375" s="7" t="str">
        <f>VLOOKUP(B375,Indice!$B$1:$C$22,2,0)</f>
        <v>CSET</v>
      </c>
      <c r="D375" s="7" t="str">
        <f>$A375&amp;"-"&amp;$C375&amp;"-"&amp;TEXT(COUNTIFS($A$2:$A375,$A375,$C$2:$C375,$C375),"000")</f>
        <v>F1-CSET-096</v>
      </c>
      <c r="E375" s="7" t="s">
        <v>422</v>
      </c>
      <c r="F375" s="7" t="s">
        <v>387</v>
      </c>
      <c r="G375" s="7" t="s">
        <v>3</v>
      </c>
    </row>
    <row r="376" spans="1:7">
      <c r="A376" s="7" t="s">
        <v>57</v>
      </c>
      <c r="B376" s="7" t="s">
        <v>17</v>
      </c>
      <c r="C376" s="7" t="str">
        <f>VLOOKUP(B376,Indice!$B$1:$C$22,2,0)</f>
        <v>CSET</v>
      </c>
      <c r="D376" s="7" t="str">
        <f>$A376&amp;"-"&amp;$C376&amp;"-"&amp;TEXT(COUNTIFS($A$2:$A376,$A376,$C$2:$C376,$C376),"000")</f>
        <v>F1-CSET-097</v>
      </c>
      <c r="E376" s="7" t="s">
        <v>422</v>
      </c>
      <c r="F376" s="7" t="s">
        <v>388</v>
      </c>
      <c r="G376" s="7" t="s">
        <v>3</v>
      </c>
    </row>
    <row r="377" spans="1:7">
      <c r="A377" s="7" t="s">
        <v>57</v>
      </c>
      <c r="B377" s="7" t="s">
        <v>17</v>
      </c>
      <c r="C377" s="7" t="str">
        <f>VLOOKUP(B377,Indice!$B$1:$C$22,2,0)</f>
        <v>CSET</v>
      </c>
      <c r="D377" s="7" t="str">
        <f>$A377&amp;"-"&amp;$C377&amp;"-"&amp;TEXT(COUNTIFS($A$2:$A377,$A377,$C$2:$C377,$C377),"000")</f>
        <v>F1-CSET-098</v>
      </c>
      <c r="E377" s="7" t="s">
        <v>422</v>
      </c>
      <c r="F377" s="7" t="s">
        <v>374</v>
      </c>
      <c r="G377" s="7" t="s">
        <v>3</v>
      </c>
    </row>
    <row r="378" spans="1:7">
      <c r="A378" s="7" t="s">
        <v>57</v>
      </c>
      <c r="B378" s="7" t="s">
        <v>17</v>
      </c>
      <c r="C378" s="7" t="str">
        <f>VLOOKUP(B378,Indice!$B$1:$C$22,2,0)</f>
        <v>CSET</v>
      </c>
      <c r="D378" s="7" t="str">
        <f>$A378&amp;"-"&amp;$C378&amp;"-"&amp;TEXT(COUNTIFS($A$2:$A378,$A378,$C$2:$C378,$C378),"000")</f>
        <v>F1-CSET-099</v>
      </c>
      <c r="E378" s="7" t="s">
        <v>422</v>
      </c>
      <c r="F378" s="7" t="s">
        <v>375</v>
      </c>
      <c r="G378" s="7" t="s">
        <v>3</v>
      </c>
    </row>
    <row r="379" spans="1:7">
      <c r="A379" s="7" t="s">
        <v>57</v>
      </c>
      <c r="B379" s="7" t="s">
        <v>17</v>
      </c>
      <c r="C379" s="7" t="str">
        <f>VLOOKUP(B379,Indice!$B$1:$C$22,2,0)</f>
        <v>CSET</v>
      </c>
      <c r="D379" s="7" t="str">
        <f>$A379&amp;"-"&amp;$C379&amp;"-"&amp;TEXT(COUNTIFS($A$2:$A379,$A379,$C$2:$C379,$C379),"000")</f>
        <v>F1-CSET-100</v>
      </c>
      <c r="E379" s="7" t="s">
        <v>423</v>
      </c>
      <c r="F379" s="7" t="s">
        <v>374</v>
      </c>
      <c r="G379" s="7" t="s">
        <v>3</v>
      </c>
    </row>
    <row r="380" spans="1:7">
      <c r="A380" s="7" t="s">
        <v>57</v>
      </c>
      <c r="B380" s="7" t="s">
        <v>17</v>
      </c>
      <c r="C380" s="7" t="str">
        <f>VLOOKUP(B380,Indice!$B$1:$C$22,2,0)</f>
        <v>CSET</v>
      </c>
      <c r="D380" s="7" t="str">
        <f>$A380&amp;"-"&amp;$C380&amp;"-"&amp;TEXT(COUNTIFS($A$2:$A380,$A380,$C$2:$C380,$C380),"000")</f>
        <v>F1-CSET-101</v>
      </c>
      <c r="E380" s="7" t="s">
        <v>424</v>
      </c>
      <c r="F380" s="7" t="s">
        <v>374</v>
      </c>
      <c r="G380" s="7" t="s">
        <v>3</v>
      </c>
    </row>
    <row r="381" spans="1:7">
      <c r="A381" s="7" t="s">
        <v>57</v>
      </c>
      <c r="B381" s="7" t="s">
        <v>17</v>
      </c>
      <c r="C381" s="7" t="str">
        <f>VLOOKUP(B381,Indice!$B$1:$C$22,2,0)</f>
        <v>CSET</v>
      </c>
      <c r="D381" s="7" t="str">
        <f>$A381&amp;"-"&amp;$C381&amp;"-"&amp;TEXT(COUNTIFS($A$2:$A381,$A381,$C$2:$C381,$C381),"000")</f>
        <v>F1-CSET-102</v>
      </c>
      <c r="E381" s="7" t="s">
        <v>425</v>
      </c>
      <c r="F381" s="7" t="s">
        <v>374</v>
      </c>
      <c r="G381" s="7" t="s">
        <v>3</v>
      </c>
    </row>
    <row r="382" spans="1:7">
      <c r="A382" s="7" t="s">
        <v>57</v>
      </c>
      <c r="B382" s="7" t="s">
        <v>17</v>
      </c>
      <c r="C382" s="7" t="str">
        <f>VLOOKUP(B382,Indice!$B$1:$C$22,2,0)</f>
        <v>CSET</v>
      </c>
      <c r="D382" s="7" t="str">
        <f>$A382&amp;"-"&amp;$C382&amp;"-"&amp;TEXT(COUNTIFS($A$2:$A382,$A382,$C$2:$C382,$C382),"000")</f>
        <v>F1-CSET-103</v>
      </c>
      <c r="E382" s="7" t="s">
        <v>426</v>
      </c>
      <c r="F382" s="7" t="s">
        <v>374</v>
      </c>
      <c r="G382" s="7" t="s">
        <v>3</v>
      </c>
    </row>
    <row r="383" spans="1:7">
      <c r="A383" s="7" t="s">
        <v>57</v>
      </c>
      <c r="B383" s="7" t="s">
        <v>17</v>
      </c>
      <c r="C383" s="7" t="str">
        <f>VLOOKUP(B383,Indice!$B$1:$C$22,2,0)</f>
        <v>CSET</v>
      </c>
      <c r="D383" s="7" t="str">
        <f>$A383&amp;"-"&amp;$C383&amp;"-"&amp;TEXT(COUNTIFS($A$2:$A383,$A383,$C$2:$C383,$C383),"000")</f>
        <v>F1-CSET-104</v>
      </c>
      <c r="E383" s="7" t="s">
        <v>427</v>
      </c>
      <c r="F383" s="7" t="s">
        <v>374</v>
      </c>
      <c r="G383" s="7" t="s">
        <v>3</v>
      </c>
    </row>
    <row r="384" spans="1:7">
      <c r="A384" s="7" t="s">
        <v>57</v>
      </c>
      <c r="B384" s="7" t="s">
        <v>17</v>
      </c>
      <c r="C384" s="7" t="str">
        <f>VLOOKUP(B384,Indice!$B$1:$C$22,2,0)</f>
        <v>CSET</v>
      </c>
      <c r="D384" s="7" t="str">
        <f>$A384&amp;"-"&amp;$C384&amp;"-"&amp;TEXT(COUNTIFS($A$2:$A384,$A384,$C$2:$C384,$C384),"000")</f>
        <v>F1-CSET-105</v>
      </c>
      <c r="E384" s="7" t="s">
        <v>428</v>
      </c>
      <c r="F384" s="7" t="s">
        <v>374</v>
      </c>
      <c r="G384" s="7" t="s">
        <v>3</v>
      </c>
    </row>
    <row r="385" spans="1:7">
      <c r="A385" s="7" t="s">
        <v>57</v>
      </c>
      <c r="B385" s="7" t="s">
        <v>17</v>
      </c>
      <c r="C385" s="7" t="str">
        <f>VLOOKUP(B385,Indice!$B$1:$C$22,2,0)</f>
        <v>CSET</v>
      </c>
      <c r="D385" s="7" t="str">
        <f>$A385&amp;"-"&amp;$C385&amp;"-"&amp;TEXT(COUNTIFS($A$2:$A385,$A385,$C$2:$C385,$C385),"000")</f>
        <v>F1-CSET-106</v>
      </c>
      <c r="E385" s="7" t="s">
        <v>429</v>
      </c>
      <c r="F385" s="7" t="s">
        <v>374</v>
      </c>
      <c r="G385" s="7" t="s">
        <v>3</v>
      </c>
    </row>
    <row r="386" spans="1:7">
      <c r="A386" s="7" t="s">
        <v>57</v>
      </c>
      <c r="B386" s="7" t="s">
        <v>17</v>
      </c>
      <c r="C386" s="7" t="str">
        <f>VLOOKUP(B386,Indice!$B$1:$C$22,2,0)</f>
        <v>CSET</v>
      </c>
      <c r="D386" s="7" t="str">
        <f>$A386&amp;"-"&amp;$C386&amp;"-"&amp;TEXT(COUNTIFS($A$2:$A386,$A386,$C$2:$C386,$C386),"000")</f>
        <v>F1-CSET-107</v>
      </c>
      <c r="E386" s="7" t="s">
        <v>430</v>
      </c>
      <c r="F386" s="7" t="s">
        <v>374</v>
      </c>
      <c r="G386" s="7" t="s">
        <v>3</v>
      </c>
    </row>
    <row r="387" spans="1:7">
      <c r="A387" s="7" t="s">
        <v>57</v>
      </c>
      <c r="B387" s="7" t="s">
        <v>17</v>
      </c>
      <c r="C387" s="7" t="str">
        <f>VLOOKUP(B387,Indice!$B$1:$C$22,2,0)</f>
        <v>CSET</v>
      </c>
      <c r="D387" s="7" t="str">
        <f>$A387&amp;"-"&amp;$C387&amp;"-"&amp;TEXT(COUNTIFS($A$2:$A387,$A387,$C$2:$C387,$C387),"000")</f>
        <v>F1-CSET-108</v>
      </c>
      <c r="E387" s="7" t="s">
        <v>431</v>
      </c>
      <c r="F387" s="7" t="s">
        <v>374</v>
      </c>
      <c r="G387" s="7" t="s">
        <v>3</v>
      </c>
    </row>
    <row r="388" spans="1:7">
      <c r="A388" s="7" t="s">
        <v>57</v>
      </c>
      <c r="B388" s="7" t="s">
        <v>17</v>
      </c>
      <c r="C388" s="7" t="str">
        <f>VLOOKUP(B388,Indice!$B$1:$C$22,2,0)</f>
        <v>CSET</v>
      </c>
      <c r="D388" s="7" t="str">
        <f>$A388&amp;"-"&amp;$C388&amp;"-"&amp;TEXT(COUNTIFS($A$2:$A388,$A388,$C$2:$C388,$C388),"000")</f>
        <v>F1-CSET-109</v>
      </c>
      <c r="E388" s="7" t="s">
        <v>432</v>
      </c>
      <c r="F388" s="7" t="s">
        <v>374</v>
      </c>
      <c r="G388" s="7" t="s">
        <v>3</v>
      </c>
    </row>
    <row r="389" spans="1:7">
      <c r="A389" s="7" t="s">
        <v>57</v>
      </c>
      <c r="B389" s="7" t="s">
        <v>17</v>
      </c>
      <c r="C389" s="7" t="str">
        <f>VLOOKUP(B389,Indice!$B$1:$C$22,2,0)</f>
        <v>CSET</v>
      </c>
      <c r="D389" s="7" t="str">
        <f>$A389&amp;"-"&amp;$C389&amp;"-"&amp;TEXT(COUNTIFS($A$2:$A389,$A389,$C$2:$C389,$C389),"000")</f>
        <v>F1-CSET-110</v>
      </c>
      <c r="E389" s="7" t="s">
        <v>433</v>
      </c>
      <c r="F389" s="7" t="s">
        <v>388</v>
      </c>
      <c r="G389" s="7" t="s">
        <v>3</v>
      </c>
    </row>
    <row r="390" spans="1:7">
      <c r="A390" s="7" t="s">
        <v>57</v>
      </c>
      <c r="B390" s="7" t="s">
        <v>17</v>
      </c>
      <c r="C390" s="7" t="str">
        <f>VLOOKUP(B390,Indice!$B$1:$C$22,2,0)</f>
        <v>CSET</v>
      </c>
      <c r="D390" s="7" t="str">
        <f>$A390&amp;"-"&amp;$C390&amp;"-"&amp;TEXT(COUNTIFS($A$2:$A390,$A390,$C$2:$C390,$C390),"000")</f>
        <v>F1-CSET-111</v>
      </c>
      <c r="E390" s="7" t="s">
        <v>433</v>
      </c>
      <c r="F390" s="7" t="s">
        <v>374</v>
      </c>
      <c r="G390" s="7" t="s">
        <v>3</v>
      </c>
    </row>
    <row r="391" spans="1:7">
      <c r="A391" s="7" t="s">
        <v>57</v>
      </c>
      <c r="B391" s="7" t="s">
        <v>17</v>
      </c>
      <c r="C391" s="7" t="str">
        <f>VLOOKUP(B391,Indice!$B$1:$C$22,2,0)</f>
        <v>CSET</v>
      </c>
      <c r="D391" s="7" t="str">
        <f>$A391&amp;"-"&amp;$C391&amp;"-"&amp;TEXT(COUNTIFS($A$2:$A391,$A391,$C$2:$C391,$C391),"000")</f>
        <v>F1-CSET-112</v>
      </c>
      <c r="E391" s="7" t="s">
        <v>433</v>
      </c>
      <c r="F391" s="7" t="s">
        <v>375</v>
      </c>
      <c r="G391" s="7" t="s">
        <v>3</v>
      </c>
    </row>
    <row r="392" spans="1:7">
      <c r="A392" s="7" t="s">
        <v>57</v>
      </c>
      <c r="B392" s="7" t="s">
        <v>17</v>
      </c>
      <c r="C392" s="7" t="str">
        <f>VLOOKUP(B392,Indice!$B$1:$C$22,2,0)</f>
        <v>CSET</v>
      </c>
      <c r="D392" s="7" t="str">
        <f>$A392&amp;"-"&amp;$C392&amp;"-"&amp;TEXT(COUNTIFS($A$2:$A392,$A392,$C$2:$C392,$C392),"000")</f>
        <v>F1-CSET-113</v>
      </c>
      <c r="E392" s="7" t="s">
        <v>434</v>
      </c>
      <c r="F392" s="7" t="s">
        <v>374</v>
      </c>
      <c r="G392" s="7" t="s">
        <v>3</v>
      </c>
    </row>
    <row r="393" spans="1:7">
      <c r="A393" s="7" t="s">
        <v>57</v>
      </c>
      <c r="B393" s="7" t="s">
        <v>17</v>
      </c>
      <c r="C393" s="7" t="str">
        <f>VLOOKUP(B393,Indice!$B$1:$C$22,2,0)</f>
        <v>CSET</v>
      </c>
      <c r="D393" s="7" t="str">
        <f>$A393&amp;"-"&amp;$C393&amp;"-"&amp;TEXT(COUNTIFS($A$2:$A393,$A393,$C$2:$C393,$C393),"000")</f>
        <v>F1-CSET-114</v>
      </c>
      <c r="E393" s="7" t="s">
        <v>435</v>
      </c>
      <c r="F393" s="7" t="s">
        <v>374</v>
      </c>
      <c r="G393" s="7" t="s">
        <v>3</v>
      </c>
    </row>
    <row r="394" spans="1:7">
      <c r="A394" s="7" t="s">
        <v>57</v>
      </c>
      <c r="B394" s="7" t="s">
        <v>17</v>
      </c>
      <c r="C394" s="7" t="str">
        <f>VLOOKUP(B394,Indice!$B$1:$C$22,2,0)</f>
        <v>CSET</v>
      </c>
      <c r="D394" s="7" t="str">
        <f>$A394&amp;"-"&amp;$C394&amp;"-"&amp;TEXT(COUNTIFS($A$2:$A394,$A394,$C$2:$C394,$C394),"000")</f>
        <v>F1-CSET-115</v>
      </c>
      <c r="E394" s="7" t="s">
        <v>436</v>
      </c>
      <c r="F394" s="7" t="s">
        <v>374</v>
      </c>
      <c r="G394" s="7" t="s">
        <v>3</v>
      </c>
    </row>
    <row r="395" spans="1:7">
      <c r="A395" s="7" t="s">
        <v>57</v>
      </c>
      <c r="B395" s="7" t="s">
        <v>17</v>
      </c>
      <c r="C395" s="7" t="str">
        <f>VLOOKUP(B395,Indice!$B$1:$C$22,2,0)</f>
        <v>CSET</v>
      </c>
      <c r="D395" s="7" t="str">
        <f>$A395&amp;"-"&amp;$C395&amp;"-"&amp;TEXT(COUNTIFS($A$2:$A395,$A395,$C$2:$C395,$C395),"000")</f>
        <v>F1-CSET-116</v>
      </c>
      <c r="E395" s="7" t="s">
        <v>436</v>
      </c>
      <c r="F395" s="7" t="s">
        <v>375</v>
      </c>
      <c r="G395" s="7" t="s">
        <v>3</v>
      </c>
    </row>
    <row r="396" spans="1:7">
      <c r="A396" s="7" t="s">
        <v>57</v>
      </c>
      <c r="B396" s="7" t="s">
        <v>17</v>
      </c>
      <c r="C396" s="7" t="str">
        <f>VLOOKUP(B396,Indice!$B$1:$C$22,2,0)</f>
        <v>CSET</v>
      </c>
      <c r="D396" s="7" t="str">
        <f>$A396&amp;"-"&amp;$C396&amp;"-"&amp;TEXT(COUNTIFS($A$2:$A396,$A396,$C$2:$C396,$C396),"000")</f>
        <v>F1-CSET-117</v>
      </c>
      <c r="E396" s="7" t="s">
        <v>437</v>
      </c>
      <c r="F396" s="7" t="s">
        <v>374</v>
      </c>
      <c r="G396" s="7" t="s">
        <v>3</v>
      </c>
    </row>
    <row r="397" spans="1:7">
      <c r="A397" s="7" t="s">
        <v>57</v>
      </c>
      <c r="B397" s="7" t="s">
        <v>17</v>
      </c>
      <c r="C397" s="7" t="str">
        <f>VLOOKUP(B397,Indice!$B$1:$C$22,2,0)</f>
        <v>CSET</v>
      </c>
      <c r="D397" s="7" t="str">
        <f>$A397&amp;"-"&amp;$C397&amp;"-"&amp;TEXT(COUNTIFS($A$2:$A397,$A397,$C$2:$C397,$C397),"000")</f>
        <v>F1-CSET-118</v>
      </c>
      <c r="E397" s="7" t="s">
        <v>437</v>
      </c>
      <c r="F397" s="7" t="s">
        <v>375</v>
      </c>
      <c r="G397" s="7" t="s">
        <v>3</v>
      </c>
    </row>
    <row r="398" spans="1:7">
      <c r="A398" s="7" t="s">
        <v>57</v>
      </c>
      <c r="B398" s="7" t="s">
        <v>17</v>
      </c>
      <c r="C398" s="7" t="str">
        <f>VLOOKUP(B398,Indice!$B$1:$C$22,2,0)</f>
        <v>CSET</v>
      </c>
      <c r="D398" s="7" t="str">
        <f>$A398&amp;"-"&amp;$C398&amp;"-"&amp;TEXT(COUNTIFS($A$2:$A398,$A398,$C$2:$C398,$C398),"000")</f>
        <v>F1-CSET-119</v>
      </c>
      <c r="E398" s="7" t="s">
        <v>438</v>
      </c>
      <c r="F398" s="7" t="s">
        <v>374</v>
      </c>
      <c r="G398" s="7" t="s">
        <v>3</v>
      </c>
    </row>
    <row r="399" spans="1:7">
      <c r="A399" s="7" t="s">
        <v>57</v>
      </c>
      <c r="B399" s="7" t="s">
        <v>17</v>
      </c>
      <c r="C399" s="7" t="str">
        <f>VLOOKUP(B399,Indice!$B$1:$C$22,2,0)</f>
        <v>CSET</v>
      </c>
      <c r="D399" s="7" t="str">
        <f>$A399&amp;"-"&amp;$C399&amp;"-"&amp;TEXT(COUNTIFS($A$2:$A399,$A399,$C$2:$C399,$C399),"000")</f>
        <v>F1-CSET-120</v>
      </c>
      <c r="E399" s="7" t="s">
        <v>438</v>
      </c>
      <c r="F399" s="7" t="s">
        <v>375</v>
      </c>
      <c r="G399" s="7" t="s">
        <v>3</v>
      </c>
    </row>
    <row r="400" spans="1:7">
      <c r="A400" s="7" t="s">
        <v>57</v>
      </c>
      <c r="B400" s="7" t="s">
        <v>17</v>
      </c>
      <c r="C400" s="7" t="str">
        <f>VLOOKUP(B400,Indice!$B$1:$C$22,2,0)</f>
        <v>CSET</v>
      </c>
      <c r="D400" s="7" t="str">
        <f>$A400&amp;"-"&amp;$C400&amp;"-"&amp;TEXT(COUNTIFS($A$2:$A400,$A400,$C$2:$C400,$C400),"000")</f>
        <v>F1-CSET-121</v>
      </c>
      <c r="E400" s="7" t="s">
        <v>439</v>
      </c>
      <c r="F400" s="7" t="s">
        <v>386</v>
      </c>
      <c r="G400" s="7" t="s">
        <v>3</v>
      </c>
    </row>
    <row r="401" spans="1:7">
      <c r="A401" s="7" t="s">
        <v>57</v>
      </c>
      <c r="B401" s="7" t="s">
        <v>17</v>
      </c>
      <c r="C401" s="7" t="str">
        <f>VLOOKUP(B401,Indice!$B$1:$C$22,2,0)</f>
        <v>CSET</v>
      </c>
      <c r="D401" s="7" t="str">
        <f>$A401&amp;"-"&amp;$C401&amp;"-"&amp;TEXT(COUNTIFS($A$2:$A401,$A401,$C$2:$C401,$C401),"000")</f>
        <v>F1-CSET-122</v>
      </c>
      <c r="E401" s="7" t="s">
        <v>439</v>
      </c>
      <c r="F401" s="7" t="s">
        <v>440</v>
      </c>
      <c r="G401" s="7" t="s">
        <v>3</v>
      </c>
    </row>
    <row r="402" spans="1:7">
      <c r="A402" s="7" t="s">
        <v>57</v>
      </c>
      <c r="B402" s="7" t="s">
        <v>17</v>
      </c>
      <c r="C402" s="7" t="str">
        <f>VLOOKUP(B402,Indice!$B$1:$C$22,2,0)</f>
        <v>CSET</v>
      </c>
      <c r="D402" s="7" t="str">
        <f>$A402&amp;"-"&amp;$C402&amp;"-"&amp;TEXT(COUNTIFS($A$2:$A402,$A402,$C$2:$C402,$C402),"000")</f>
        <v>F1-CSET-123</v>
      </c>
      <c r="E402" s="7" t="s">
        <v>439</v>
      </c>
      <c r="F402" s="7" t="s">
        <v>387</v>
      </c>
      <c r="G402" s="7" t="s">
        <v>3</v>
      </c>
    </row>
    <row r="403" spans="1:7">
      <c r="A403" s="7" t="s">
        <v>57</v>
      </c>
      <c r="B403" s="7" t="s">
        <v>17</v>
      </c>
      <c r="C403" s="7" t="str">
        <f>VLOOKUP(B403,Indice!$B$1:$C$22,2,0)</f>
        <v>CSET</v>
      </c>
      <c r="D403" s="7" t="str">
        <f>$A403&amp;"-"&amp;$C403&amp;"-"&amp;TEXT(COUNTIFS($A$2:$A403,$A403,$C$2:$C403,$C403),"000")</f>
        <v>F1-CSET-124</v>
      </c>
      <c r="E403" s="7" t="s">
        <v>439</v>
      </c>
      <c r="F403" s="7" t="s">
        <v>388</v>
      </c>
      <c r="G403" s="7" t="s">
        <v>3</v>
      </c>
    </row>
    <row r="404" spans="1:7">
      <c r="A404" s="7" t="s">
        <v>57</v>
      </c>
      <c r="B404" s="7" t="s">
        <v>17</v>
      </c>
      <c r="C404" s="7" t="str">
        <f>VLOOKUP(B404,Indice!$B$1:$C$22,2,0)</f>
        <v>CSET</v>
      </c>
      <c r="D404" s="7" t="str">
        <f>$A404&amp;"-"&amp;$C404&amp;"-"&amp;TEXT(COUNTIFS($A$2:$A404,$A404,$C$2:$C404,$C404),"000")</f>
        <v>F1-CSET-125</v>
      </c>
      <c r="E404" s="7" t="s">
        <v>439</v>
      </c>
      <c r="F404" s="7" t="s">
        <v>374</v>
      </c>
      <c r="G404" s="7" t="s">
        <v>3</v>
      </c>
    </row>
    <row r="405" spans="1:7">
      <c r="A405" s="7" t="s">
        <v>57</v>
      </c>
      <c r="B405" s="7" t="s">
        <v>17</v>
      </c>
      <c r="C405" s="7" t="str">
        <f>VLOOKUP(B405,Indice!$B$1:$C$22,2,0)</f>
        <v>CSET</v>
      </c>
      <c r="D405" s="7" t="str">
        <f>$A405&amp;"-"&amp;$C405&amp;"-"&amp;TEXT(COUNTIFS($A$2:$A405,$A405,$C$2:$C405,$C405),"000")</f>
        <v>F1-CSET-126</v>
      </c>
      <c r="E405" s="7" t="s">
        <v>439</v>
      </c>
      <c r="F405" s="7" t="s">
        <v>389</v>
      </c>
      <c r="G405" s="7" t="s">
        <v>3</v>
      </c>
    </row>
    <row r="406" spans="1:7">
      <c r="A406" s="7" t="s">
        <v>57</v>
      </c>
      <c r="B406" s="7" t="s">
        <v>17</v>
      </c>
      <c r="C406" s="7" t="str">
        <f>VLOOKUP(B406,Indice!$B$1:$C$22,2,0)</f>
        <v>CSET</v>
      </c>
      <c r="D406" s="7" t="str">
        <f>$A406&amp;"-"&amp;$C406&amp;"-"&amp;TEXT(COUNTIFS($A$2:$A406,$A406,$C$2:$C406,$C406),"000")</f>
        <v>F1-CSET-127</v>
      </c>
      <c r="E406" s="7" t="s">
        <v>439</v>
      </c>
      <c r="F406" s="7" t="s">
        <v>375</v>
      </c>
      <c r="G406" s="7" t="s">
        <v>3</v>
      </c>
    </row>
    <row r="407" spans="1:7">
      <c r="A407" s="7" t="s">
        <v>57</v>
      </c>
      <c r="B407" s="7" t="s">
        <v>19</v>
      </c>
      <c r="C407" s="7" t="str">
        <f>VLOOKUP(B407,Indice!$B$1:$C$22,2,0)</f>
        <v>DAIO</v>
      </c>
      <c r="D407" s="7" t="str">
        <f>$A407&amp;"-"&amp;$C407&amp;"-"&amp;TEXT(COUNTIFS($A$2:$A407,$A407,$C$2:$C407,$C407),"000")</f>
        <v>F1-DAIO-001</v>
      </c>
      <c r="E407" s="7" t="s">
        <v>441</v>
      </c>
      <c r="F407" s="7" t="s">
        <v>442</v>
      </c>
      <c r="G407" s="7" t="s">
        <v>3</v>
      </c>
    </row>
    <row r="408" spans="1:7">
      <c r="A408" s="7" t="s">
        <v>57</v>
      </c>
      <c r="B408" s="7" t="s">
        <v>19</v>
      </c>
      <c r="C408" s="7" t="str">
        <f>VLOOKUP(B408,Indice!$B$1:$C$22,2,0)</f>
        <v>DAIO</v>
      </c>
      <c r="D408" s="7" t="str">
        <f>$A408&amp;"-"&amp;$C408&amp;"-"&amp;TEXT(COUNTIFS($A$2:$A408,$A408,$C$2:$C408,$C408),"000")</f>
        <v>F1-DAIO-002</v>
      </c>
      <c r="E408" s="7" t="s">
        <v>443</v>
      </c>
      <c r="F408" s="7" t="s">
        <v>444</v>
      </c>
      <c r="G408" s="7" t="s">
        <v>5</v>
      </c>
    </row>
    <row r="409" spans="1:7">
      <c r="A409" s="7" t="s">
        <v>57</v>
      </c>
      <c r="B409" s="7" t="s">
        <v>19</v>
      </c>
      <c r="C409" s="7" t="str">
        <f>VLOOKUP(B409,Indice!$B$1:$C$22,2,0)</f>
        <v>DAIO</v>
      </c>
      <c r="D409" s="7" t="str">
        <f>$A409&amp;"-"&amp;$C409&amp;"-"&amp;TEXT(COUNTIFS($A$2:$A409,$A409,$C$2:$C409,$C409),"000")</f>
        <v>F1-DAIO-003</v>
      </c>
      <c r="E409" s="7" t="s">
        <v>445</v>
      </c>
      <c r="F409" s="7" t="s">
        <v>444</v>
      </c>
      <c r="G409" s="7" t="s">
        <v>4</v>
      </c>
    </row>
    <row r="410" spans="1:7">
      <c r="A410" s="7" t="s">
        <v>57</v>
      </c>
      <c r="B410" s="7" t="s">
        <v>19</v>
      </c>
      <c r="C410" s="7" t="str">
        <f>VLOOKUP(B410,Indice!$B$1:$C$22,2,0)</f>
        <v>DAIO</v>
      </c>
      <c r="D410" s="7" t="str">
        <f>$A410&amp;"-"&amp;$C410&amp;"-"&amp;TEXT(COUNTIFS($A$2:$A410,$A410,$C$2:$C410,$C410),"000")</f>
        <v>F1-DAIO-004</v>
      </c>
      <c r="E410" s="7" t="s">
        <v>446</v>
      </c>
      <c r="F410" s="7" t="s">
        <v>442</v>
      </c>
      <c r="G410" s="7" t="s">
        <v>3</v>
      </c>
    </row>
    <row r="411" spans="1:7">
      <c r="A411" s="7" t="s">
        <v>57</v>
      </c>
      <c r="B411" s="7" t="s">
        <v>19</v>
      </c>
      <c r="C411" s="7" t="str">
        <f>VLOOKUP(B411,Indice!$B$1:$C$22,2,0)</f>
        <v>DAIO</v>
      </c>
      <c r="D411" s="7" t="str">
        <f>$A411&amp;"-"&amp;$C411&amp;"-"&amp;TEXT(COUNTIFS($A$2:$A411,$A411,$C$2:$C411,$C411),"000")</f>
        <v>F1-DAIO-005</v>
      </c>
      <c r="E411" s="7" t="s">
        <v>447</v>
      </c>
      <c r="F411" s="7" t="s">
        <v>442</v>
      </c>
      <c r="G411" s="7" t="s">
        <v>3</v>
      </c>
    </row>
    <row r="412" spans="1:7">
      <c r="A412" s="7" t="s">
        <v>57</v>
      </c>
      <c r="B412" s="7" t="s">
        <v>19</v>
      </c>
      <c r="C412" s="7" t="str">
        <f>VLOOKUP(B412,Indice!$B$1:$C$22,2,0)</f>
        <v>DAIO</v>
      </c>
      <c r="D412" s="7" t="str">
        <f>$A412&amp;"-"&amp;$C412&amp;"-"&amp;TEXT(COUNTIFS($A$2:$A412,$A412,$C$2:$C412,$C412),"000")</f>
        <v>F1-DAIO-006</v>
      </c>
      <c r="E412" s="7" t="s">
        <v>448</v>
      </c>
      <c r="F412" s="7" t="s">
        <v>442</v>
      </c>
      <c r="G412" s="7" t="s">
        <v>3</v>
      </c>
    </row>
    <row r="413" spans="1:7">
      <c r="A413" s="7" t="s">
        <v>57</v>
      </c>
      <c r="B413" s="7" t="s">
        <v>19</v>
      </c>
      <c r="C413" s="7" t="str">
        <f>VLOOKUP(B413,Indice!$B$1:$C$22,2,0)</f>
        <v>DAIO</v>
      </c>
      <c r="D413" s="7" t="str">
        <f>$A413&amp;"-"&amp;$C413&amp;"-"&amp;TEXT(COUNTIFS($A$2:$A413,$A413,$C$2:$C413,$C413),"000")</f>
        <v>F1-DAIO-007</v>
      </c>
      <c r="E413" s="7" t="s">
        <v>449</v>
      </c>
      <c r="F413" s="7" t="s">
        <v>442</v>
      </c>
      <c r="G413" s="7" t="s">
        <v>3</v>
      </c>
    </row>
    <row r="414" spans="1:7">
      <c r="A414" s="7" t="s">
        <v>57</v>
      </c>
      <c r="B414" s="7" t="s">
        <v>19</v>
      </c>
      <c r="C414" s="7" t="str">
        <f>VLOOKUP(B414,Indice!$B$1:$C$22,2,0)</f>
        <v>DAIO</v>
      </c>
      <c r="D414" s="7" t="str">
        <f>$A414&amp;"-"&amp;$C414&amp;"-"&amp;TEXT(COUNTIFS($A$2:$A414,$A414,$C$2:$C414,$C414),"000")</f>
        <v>F1-DAIO-008</v>
      </c>
      <c r="E414" s="7" t="s">
        <v>450</v>
      </c>
      <c r="F414" s="7" t="s">
        <v>442</v>
      </c>
      <c r="G414" s="7" t="s">
        <v>3</v>
      </c>
    </row>
    <row r="415" spans="1:7">
      <c r="A415" s="7" t="s">
        <v>57</v>
      </c>
      <c r="B415" s="7" t="s">
        <v>19</v>
      </c>
      <c r="C415" s="7" t="str">
        <f>VLOOKUP(B415,Indice!$B$1:$C$22,2,0)</f>
        <v>DAIO</v>
      </c>
      <c r="D415" s="7" t="str">
        <f>$A415&amp;"-"&amp;$C415&amp;"-"&amp;TEXT(COUNTIFS($A$2:$A415,$A415,$C$2:$C415,$C415),"000")</f>
        <v>F1-DAIO-009</v>
      </c>
      <c r="E415" s="7" t="s">
        <v>451</v>
      </c>
      <c r="F415" s="7" t="s">
        <v>442</v>
      </c>
      <c r="G415" s="7" t="s">
        <v>3</v>
      </c>
    </row>
    <row r="416" spans="1:7">
      <c r="A416" s="7" t="s">
        <v>57</v>
      </c>
      <c r="B416" s="7" t="s">
        <v>19</v>
      </c>
      <c r="C416" s="7" t="str">
        <f>VLOOKUP(B416,Indice!$B$1:$C$22,2,0)</f>
        <v>DAIO</v>
      </c>
      <c r="D416" s="7" t="str">
        <f>$A416&amp;"-"&amp;$C416&amp;"-"&amp;TEXT(COUNTIFS($A$2:$A416,$A416,$C$2:$C416,$C416),"000")</f>
        <v>F1-DAIO-010</v>
      </c>
      <c r="E416" s="7" t="s">
        <v>452</v>
      </c>
      <c r="F416" s="7" t="s">
        <v>442</v>
      </c>
      <c r="G416" s="7" t="s">
        <v>3</v>
      </c>
    </row>
    <row r="417" spans="1:7">
      <c r="A417" s="7" t="s">
        <v>57</v>
      </c>
      <c r="B417" s="7" t="s">
        <v>19</v>
      </c>
      <c r="C417" s="7" t="str">
        <f>VLOOKUP(B417,Indice!$B$1:$C$22,2,0)</f>
        <v>DAIO</v>
      </c>
      <c r="D417" s="7" t="str">
        <f>$A417&amp;"-"&amp;$C417&amp;"-"&amp;TEXT(COUNTIFS($A$2:$A417,$A417,$C$2:$C417,$C417),"000")</f>
        <v>F1-DAIO-011</v>
      </c>
      <c r="E417" s="7" t="s">
        <v>453</v>
      </c>
      <c r="F417" s="7" t="s">
        <v>442</v>
      </c>
      <c r="G417" s="7" t="s">
        <v>3</v>
      </c>
    </row>
    <row r="418" spans="1:7">
      <c r="A418" s="7" t="s">
        <v>57</v>
      </c>
      <c r="B418" s="7" t="s">
        <v>19</v>
      </c>
      <c r="C418" s="7" t="str">
        <f>VLOOKUP(B418,Indice!$B$1:$C$22,2,0)</f>
        <v>DAIO</v>
      </c>
      <c r="D418" s="7" t="str">
        <f>$A418&amp;"-"&amp;$C418&amp;"-"&amp;TEXT(COUNTIFS($A$2:$A418,$A418,$C$2:$C418,$C418),"000")</f>
        <v>F1-DAIO-012</v>
      </c>
      <c r="E418" s="7" t="s">
        <v>454</v>
      </c>
      <c r="F418" s="7" t="s">
        <v>442</v>
      </c>
      <c r="G418" s="7" t="s">
        <v>3</v>
      </c>
    </row>
    <row r="419" spans="1:7">
      <c r="A419" s="7" t="s">
        <v>57</v>
      </c>
      <c r="B419" s="7" t="s">
        <v>19</v>
      </c>
      <c r="C419" s="7" t="str">
        <f>VLOOKUP(B419,Indice!$B$1:$C$22,2,0)</f>
        <v>DAIO</v>
      </c>
      <c r="D419" s="7" t="str">
        <f>$A419&amp;"-"&amp;$C419&amp;"-"&amp;TEXT(COUNTIFS($A$2:$A419,$A419,$C$2:$C419,$C419),"000")</f>
        <v>F1-DAIO-013</v>
      </c>
      <c r="E419" s="7" t="s">
        <v>455</v>
      </c>
      <c r="F419" s="7" t="s">
        <v>442</v>
      </c>
      <c r="G419" s="7" t="s">
        <v>3</v>
      </c>
    </row>
    <row r="420" spans="1:7">
      <c r="A420" s="7" t="s">
        <v>57</v>
      </c>
      <c r="B420" s="7" t="s">
        <v>19</v>
      </c>
      <c r="C420" s="7" t="str">
        <f>VLOOKUP(B420,Indice!$B$1:$C$22,2,0)</f>
        <v>DAIO</v>
      </c>
      <c r="D420" s="7" t="str">
        <f>$A420&amp;"-"&amp;$C420&amp;"-"&amp;TEXT(COUNTIFS($A$2:$A420,$A420,$C$2:$C420,$C420),"000")</f>
        <v>F1-DAIO-014</v>
      </c>
      <c r="E420" s="7" t="s">
        <v>456</v>
      </c>
      <c r="F420" s="7" t="s">
        <v>442</v>
      </c>
      <c r="G420" s="7" t="s">
        <v>3</v>
      </c>
    </row>
    <row r="421" spans="1:7">
      <c r="A421" s="7" t="s">
        <v>57</v>
      </c>
      <c r="B421" s="7" t="s">
        <v>19</v>
      </c>
      <c r="C421" s="7" t="str">
        <f>VLOOKUP(B421,Indice!$B$1:$C$22,2,0)</f>
        <v>DAIO</v>
      </c>
      <c r="D421" s="7" t="str">
        <f>$A421&amp;"-"&amp;$C421&amp;"-"&amp;TEXT(COUNTIFS($A$2:$A421,$A421,$C$2:$C421,$C421),"000")</f>
        <v>F1-DAIO-015</v>
      </c>
      <c r="E421" s="7" t="s">
        <v>457</v>
      </c>
      <c r="F421" s="7" t="s">
        <v>442</v>
      </c>
      <c r="G421" s="7" t="s">
        <v>3</v>
      </c>
    </row>
    <row r="422" spans="1:7">
      <c r="A422" s="7" t="s">
        <v>57</v>
      </c>
      <c r="B422" s="7" t="s">
        <v>19</v>
      </c>
      <c r="C422" s="7" t="str">
        <f>VLOOKUP(B422,Indice!$B$1:$C$22,2,0)</f>
        <v>DAIO</v>
      </c>
      <c r="D422" s="7" t="str">
        <f>$A422&amp;"-"&amp;$C422&amp;"-"&amp;TEXT(COUNTIFS($A$2:$A422,$A422,$C$2:$C422,$C422),"000")</f>
        <v>F1-DAIO-016</v>
      </c>
      <c r="E422" s="7" t="s">
        <v>458</v>
      </c>
      <c r="F422" s="7" t="s">
        <v>442</v>
      </c>
      <c r="G422" s="7" t="s">
        <v>3</v>
      </c>
    </row>
    <row r="423" spans="1:7">
      <c r="A423" s="7" t="s">
        <v>57</v>
      </c>
      <c r="B423" s="7" t="s">
        <v>19</v>
      </c>
      <c r="C423" s="7" t="str">
        <f>VLOOKUP(B423,Indice!$B$1:$C$22,2,0)</f>
        <v>DAIO</v>
      </c>
      <c r="D423" s="7" t="str">
        <f>$A423&amp;"-"&amp;$C423&amp;"-"&amp;TEXT(COUNTIFS($A$2:$A423,$A423,$C$2:$C423,$C423),"000")</f>
        <v>F1-DAIO-017</v>
      </c>
      <c r="E423" s="7" t="s">
        <v>459</v>
      </c>
      <c r="F423" s="7" t="s">
        <v>442</v>
      </c>
      <c r="G423" s="7" t="s">
        <v>3</v>
      </c>
    </row>
    <row r="424" spans="1:7">
      <c r="A424" s="7" t="s">
        <v>57</v>
      </c>
      <c r="B424" s="7" t="s">
        <v>19</v>
      </c>
      <c r="C424" s="7" t="str">
        <f>VLOOKUP(B424,Indice!$B$1:$C$22,2,0)</f>
        <v>DAIO</v>
      </c>
      <c r="D424" s="7" t="str">
        <f>$A424&amp;"-"&amp;$C424&amp;"-"&amp;TEXT(COUNTIFS($A$2:$A424,$A424,$C$2:$C424,$C424),"000")</f>
        <v>F1-DAIO-018</v>
      </c>
      <c r="E424" s="7" t="s">
        <v>460</v>
      </c>
      <c r="F424" s="7" t="s">
        <v>442</v>
      </c>
      <c r="G424" s="7" t="s">
        <v>3</v>
      </c>
    </row>
    <row r="425" spans="1:7">
      <c r="A425" s="7" t="s">
        <v>57</v>
      </c>
      <c r="B425" s="7" t="s">
        <v>19</v>
      </c>
      <c r="C425" s="7" t="str">
        <f>VLOOKUP(B425,Indice!$B$1:$C$22,2,0)</f>
        <v>DAIO</v>
      </c>
      <c r="D425" s="7" t="str">
        <f>$A425&amp;"-"&amp;$C425&amp;"-"&amp;TEXT(COUNTIFS($A$2:$A425,$A425,$C$2:$C425,$C425),"000")</f>
        <v>F1-DAIO-019</v>
      </c>
      <c r="E425" s="7" t="s">
        <v>461</v>
      </c>
      <c r="F425" s="7" t="s">
        <v>442</v>
      </c>
      <c r="G425" s="7" t="s">
        <v>3</v>
      </c>
    </row>
    <row r="426" spans="1:7">
      <c r="A426" s="7" t="s">
        <v>57</v>
      </c>
      <c r="B426" s="7" t="s">
        <v>19</v>
      </c>
      <c r="C426" s="7" t="str">
        <f>VLOOKUP(B426,Indice!$B$1:$C$22,2,0)</f>
        <v>DAIO</v>
      </c>
      <c r="D426" s="7" t="str">
        <f>$A426&amp;"-"&amp;$C426&amp;"-"&amp;TEXT(COUNTIFS($A$2:$A426,$A426,$C$2:$C426,$C426),"000")</f>
        <v>F1-DAIO-020</v>
      </c>
      <c r="E426" s="7" t="s">
        <v>462</v>
      </c>
      <c r="F426" s="7" t="s">
        <v>442</v>
      </c>
      <c r="G426" s="7" t="s">
        <v>3</v>
      </c>
    </row>
    <row r="427" spans="1:7">
      <c r="A427" s="7" t="s">
        <v>57</v>
      </c>
      <c r="B427" s="7" t="s">
        <v>19</v>
      </c>
      <c r="C427" s="7" t="str">
        <f>VLOOKUP(B427,Indice!$B$1:$C$22,2,0)</f>
        <v>DAIO</v>
      </c>
      <c r="D427" s="7" t="str">
        <f>$A427&amp;"-"&amp;$C427&amp;"-"&amp;TEXT(COUNTIFS($A$2:$A427,$A427,$C$2:$C427,$C427),"000")</f>
        <v>F1-DAIO-021</v>
      </c>
      <c r="E427" s="7" t="s">
        <v>463</v>
      </c>
      <c r="F427" s="7" t="s">
        <v>442</v>
      </c>
      <c r="G427" s="7" t="s">
        <v>3</v>
      </c>
    </row>
    <row r="428" spans="1:7">
      <c r="A428" s="7" t="s">
        <v>57</v>
      </c>
      <c r="B428" s="7" t="s">
        <v>19</v>
      </c>
      <c r="C428" s="7" t="str">
        <f>VLOOKUP(B428,Indice!$B$1:$C$22,2,0)</f>
        <v>DAIO</v>
      </c>
      <c r="D428" s="7" t="str">
        <f>$A428&amp;"-"&amp;$C428&amp;"-"&amp;TEXT(COUNTIFS($A$2:$A428,$A428,$C$2:$C428,$C428),"000")</f>
        <v>F1-DAIO-022</v>
      </c>
      <c r="E428" s="7" t="s">
        <v>464</v>
      </c>
      <c r="F428" s="7" t="s">
        <v>442</v>
      </c>
      <c r="G428" s="7" t="s">
        <v>3</v>
      </c>
    </row>
    <row r="429" spans="1:7">
      <c r="A429" s="7" t="s">
        <v>57</v>
      </c>
      <c r="B429" s="7" t="s">
        <v>19</v>
      </c>
      <c r="C429" s="7" t="str">
        <f>VLOOKUP(B429,Indice!$B$1:$C$22,2,0)</f>
        <v>DAIO</v>
      </c>
      <c r="D429" s="7" t="str">
        <f>$A429&amp;"-"&amp;$C429&amp;"-"&amp;TEXT(COUNTIFS($A$2:$A429,$A429,$C$2:$C429,$C429),"000")</f>
        <v>F1-DAIO-023</v>
      </c>
      <c r="E429" s="7" t="s">
        <v>465</v>
      </c>
      <c r="F429" s="7" t="s">
        <v>442</v>
      </c>
      <c r="G429" s="7" t="s">
        <v>3</v>
      </c>
    </row>
    <row r="430" spans="1:7">
      <c r="A430" s="7" t="s">
        <v>57</v>
      </c>
      <c r="B430" s="7" t="s">
        <v>19</v>
      </c>
      <c r="C430" s="7" t="str">
        <f>VLOOKUP(B430,Indice!$B$1:$C$22,2,0)</f>
        <v>DAIO</v>
      </c>
      <c r="D430" s="7" t="str">
        <f>$A430&amp;"-"&amp;$C430&amp;"-"&amp;TEXT(COUNTIFS($A$2:$A430,$A430,$C$2:$C430,$C430),"000")</f>
        <v>F1-DAIO-024</v>
      </c>
      <c r="E430" s="7" t="s">
        <v>466</v>
      </c>
      <c r="F430" s="7" t="s">
        <v>442</v>
      </c>
      <c r="G430" s="7" t="s">
        <v>3</v>
      </c>
    </row>
    <row r="431" spans="1:7">
      <c r="A431" s="7" t="s">
        <v>57</v>
      </c>
      <c r="B431" s="7" t="s">
        <v>19</v>
      </c>
      <c r="C431" s="7" t="str">
        <f>VLOOKUP(B431,Indice!$B$1:$C$22,2,0)</f>
        <v>DAIO</v>
      </c>
      <c r="D431" s="7" t="str">
        <f>$A431&amp;"-"&amp;$C431&amp;"-"&amp;TEXT(COUNTIFS($A$2:$A431,$A431,$C$2:$C431,$C431),"000")</f>
        <v>F1-DAIO-025</v>
      </c>
      <c r="E431" s="7" t="s">
        <v>467</v>
      </c>
      <c r="F431" s="7" t="s">
        <v>442</v>
      </c>
      <c r="G431" s="7" t="s">
        <v>3</v>
      </c>
    </row>
    <row r="432" spans="1:7">
      <c r="A432" s="7" t="s">
        <v>57</v>
      </c>
      <c r="B432" s="7" t="s">
        <v>19</v>
      </c>
      <c r="C432" s="7" t="str">
        <f>VLOOKUP(B432,Indice!$B$1:$C$22,2,0)</f>
        <v>DAIO</v>
      </c>
      <c r="D432" s="7" t="str">
        <f>$A432&amp;"-"&amp;$C432&amp;"-"&amp;TEXT(COUNTIFS($A$2:$A432,$A432,$C$2:$C432,$C432),"000")</f>
        <v>F1-DAIO-026</v>
      </c>
      <c r="E432" s="7" t="s">
        <v>468</v>
      </c>
      <c r="F432" s="7" t="s">
        <v>442</v>
      </c>
      <c r="G432" s="7" t="s">
        <v>3</v>
      </c>
    </row>
    <row r="433" spans="1:7">
      <c r="A433" s="7" t="s">
        <v>57</v>
      </c>
      <c r="B433" s="7" t="s">
        <v>19</v>
      </c>
      <c r="C433" s="7" t="str">
        <f>VLOOKUP(B433,Indice!$B$1:$C$22,2,0)</f>
        <v>DAIO</v>
      </c>
      <c r="D433" s="7" t="str">
        <f>$A433&amp;"-"&amp;$C433&amp;"-"&amp;TEXT(COUNTIFS($A$2:$A433,$A433,$C$2:$C433,$C433),"000")</f>
        <v>F1-DAIO-027</v>
      </c>
      <c r="E433" s="7" t="s">
        <v>469</v>
      </c>
      <c r="F433" s="7" t="s">
        <v>442</v>
      </c>
      <c r="G433" s="7" t="s">
        <v>3</v>
      </c>
    </row>
    <row r="434" spans="1:7">
      <c r="A434" s="7" t="s">
        <v>57</v>
      </c>
      <c r="B434" s="7" t="s">
        <v>19</v>
      </c>
      <c r="C434" s="7" t="str">
        <f>VLOOKUP(B434,Indice!$B$1:$C$22,2,0)</f>
        <v>DAIO</v>
      </c>
      <c r="D434" s="7" t="str">
        <f>$A434&amp;"-"&amp;$C434&amp;"-"&amp;TEXT(COUNTIFS($A$2:$A434,$A434,$C$2:$C434,$C434),"000")</f>
        <v>F1-DAIO-028</v>
      </c>
      <c r="E434" s="7" t="s">
        <v>470</v>
      </c>
      <c r="F434" s="7" t="s">
        <v>442</v>
      </c>
      <c r="G434" s="7" t="s">
        <v>3</v>
      </c>
    </row>
    <row r="435" spans="1:7">
      <c r="A435" s="7" t="s">
        <v>57</v>
      </c>
      <c r="B435" s="7" t="s">
        <v>19</v>
      </c>
      <c r="C435" s="7" t="str">
        <f>VLOOKUP(B435,Indice!$B$1:$C$22,2,0)</f>
        <v>DAIO</v>
      </c>
      <c r="D435" s="7" t="str">
        <f>$A435&amp;"-"&amp;$C435&amp;"-"&amp;TEXT(COUNTIFS($A$2:$A435,$A435,$C$2:$C435,$C435),"000")</f>
        <v>F1-DAIO-029</v>
      </c>
      <c r="E435" s="7" t="s">
        <v>471</v>
      </c>
      <c r="F435" s="7" t="s">
        <v>442</v>
      </c>
      <c r="G435" s="7" t="s">
        <v>3</v>
      </c>
    </row>
    <row r="436" spans="1:7">
      <c r="A436" s="7" t="s">
        <v>57</v>
      </c>
      <c r="B436" s="7" t="s">
        <v>19</v>
      </c>
      <c r="C436" s="7" t="str">
        <f>VLOOKUP(B436,Indice!$B$1:$C$22,2,0)</f>
        <v>DAIO</v>
      </c>
      <c r="D436" s="7" t="str">
        <f>$A436&amp;"-"&amp;$C436&amp;"-"&amp;TEXT(COUNTIFS($A$2:$A436,$A436,$C$2:$C436,$C436),"000")</f>
        <v>F1-DAIO-030</v>
      </c>
      <c r="E436" s="7" t="s">
        <v>472</v>
      </c>
      <c r="F436" s="7" t="s">
        <v>442</v>
      </c>
      <c r="G436" s="7" t="s">
        <v>3</v>
      </c>
    </row>
    <row r="437" spans="1:7">
      <c r="A437" s="7" t="s">
        <v>57</v>
      </c>
      <c r="B437" s="7" t="s">
        <v>19</v>
      </c>
      <c r="C437" s="7" t="str">
        <f>VLOOKUP(B437,Indice!$B$1:$C$22,2,0)</f>
        <v>DAIO</v>
      </c>
      <c r="D437" s="7" t="str">
        <f>$A437&amp;"-"&amp;$C437&amp;"-"&amp;TEXT(COUNTIFS($A$2:$A437,$A437,$C$2:$C437,$C437),"000")</f>
        <v>F1-DAIO-031</v>
      </c>
      <c r="E437" s="7" t="s">
        <v>473</v>
      </c>
      <c r="F437" s="7" t="s">
        <v>442</v>
      </c>
      <c r="G437" s="7" t="s">
        <v>3</v>
      </c>
    </row>
    <row r="438" spans="1:7">
      <c r="A438" s="7" t="s">
        <v>57</v>
      </c>
      <c r="B438" s="7" t="s">
        <v>19</v>
      </c>
      <c r="C438" s="7" t="str">
        <f>VLOOKUP(B438,Indice!$B$1:$C$22,2,0)</f>
        <v>DAIO</v>
      </c>
      <c r="D438" s="7" t="str">
        <f>$A438&amp;"-"&amp;$C438&amp;"-"&amp;TEXT(COUNTIFS($A$2:$A438,$A438,$C$2:$C438,$C438),"000")</f>
        <v>F1-DAIO-032</v>
      </c>
      <c r="E438" s="7" t="s">
        <v>474</v>
      </c>
      <c r="F438" s="7" t="s">
        <v>442</v>
      </c>
      <c r="G438" s="7" t="s">
        <v>3</v>
      </c>
    </row>
    <row r="439" spans="1:7">
      <c r="A439" s="7" t="s">
        <v>57</v>
      </c>
      <c r="B439" s="7" t="s">
        <v>19</v>
      </c>
      <c r="C439" s="7" t="str">
        <f>VLOOKUP(B439,Indice!$B$1:$C$22,2,0)</f>
        <v>DAIO</v>
      </c>
      <c r="D439" s="7" t="str">
        <f>$A439&amp;"-"&amp;$C439&amp;"-"&amp;TEXT(COUNTIFS($A$2:$A439,$A439,$C$2:$C439,$C439),"000")</f>
        <v>F1-DAIO-033</v>
      </c>
      <c r="E439" s="7" t="s">
        <v>475</v>
      </c>
      <c r="F439" s="7" t="s">
        <v>442</v>
      </c>
      <c r="G439" s="7" t="s">
        <v>3</v>
      </c>
    </row>
    <row r="440" spans="1:7">
      <c r="A440" s="7" t="s">
        <v>57</v>
      </c>
      <c r="B440" s="7" t="s">
        <v>19</v>
      </c>
      <c r="C440" s="7" t="str">
        <f>VLOOKUP(B440,Indice!$B$1:$C$22,2,0)</f>
        <v>DAIO</v>
      </c>
      <c r="D440" s="7" t="str">
        <f>$A440&amp;"-"&amp;$C440&amp;"-"&amp;TEXT(COUNTIFS($A$2:$A440,$A440,$C$2:$C440,$C440),"000")</f>
        <v>F1-DAIO-034</v>
      </c>
      <c r="E440" s="7" t="s">
        <v>476</v>
      </c>
      <c r="F440" s="7" t="s">
        <v>442</v>
      </c>
      <c r="G440" s="7" t="s">
        <v>3</v>
      </c>
    </row>
    <row r="441" spans="1:7">
      <c r="A441" s="7" t="s">
        <v>57</v>
      </c>
      <c r="B441" s="7" t="s">
        <v>19</v>
      </c>
      <c r="C441" s="7" t="str">
        <f>VLOOKUP(B441,Indice!$B$1:$C$22,2,0)</f>
        <v>DAIO</v>
      </c>
      <c r="D441" s="7" t="str">
        <f>$A441&amp;"-"&amp;$C441&amp;"-"&amp;TEXT(COUNTIFS($A$2:$A441,$A441,$C$2:$C441,$C441),"000")</f>
        <v>F1-DAIO-035</v>
      </c>
      <c r="E441" s="7" t="s">
        <v>477</v>
      </c>
      <c r="F441" s="7" t="s">
        <v>442</v>
      </c>
      <c r="G441" s="7" t="s">
        <v>3</v>
      </c>
    </row>
    <row r="442" spans="1:7">
      <c r="A442" s="7" t="s">
        <v>57</v>
      </c>
      <c r="B442" s="7" t="s">
        <v>20</v>
      </c>
      <c r="C442" s="7" t="str">
        <f>VLOOKUP(B442,Indice!$B$1:$C$22,2,0)</f>
        <v>DEFENSA21</v>
      </c>
      <c r="D442" s="7" t="str">
        <f>$A442&amp;"-"&amp;$C442&amp;"-"&amp;TEXT(COUNTIFS($A$2:$A442,$A442,$C$2:$C442,$C442),"000")</f>
        <v>F1-DEFENSA21-001</v>
      </c>
      <c r="E442" s="7" t="s">
        <v>478</v>
      </c>
      <c r="F442" s="7" t="s">
        <v>479</v>
      </c>
      <c r="G442" s="7" t="s">
        <v>4</v>
      </c>
    </row>
    <row r="443" spans="1:7">
      <c r="A443" s="7" t="s">
        <v>57</v>
      </c>
      <c r="B443" s="7" t="s">
        <v>20</v>
      </c>
      <c r="C443" s="7" t="str">
        <f>VLOOKUP(B443,Indice!$B$1:$C$22,2,0)</f>
        <v>DEFENSA21</v>
      </c>
      <c r="D443" s="7" t="str">
        <f>$A443&amp;"-"&amp;$C443&amp;"-"&amp;TEXT(COUNTIFS($A$2:$A443,$A443,$C$2:$C443,$C443),"000")</f>
        <v>F1-DEFENSA21-002</v>
      </c>
      <c r="E443" s="7" t="s">
        <v>480</v>
      </c>
      <c r="F443" s="7" t="s">
        <v>479</v>
      </c>
      <c r="G443" s="7" t="s">
        <v>4</v>
      </c>
    </row>
    <row r="444" spans="1:7">
      <c r="A444" s="7" t="s">
        <v>57</v>
      </c>
      <c r="B444" s="7" t="s">
        <v>22</v>
      </c>
      <c r="C444" s="7" t="str">
        <f>VLOOKUP(B444,Indice!$B$1:$C$22,2,0)</f>
        <v>ILIA</v>
      </c>
      <c r="D444" s="7" t="str">
        <f>$A444&amp;"-"&amp;$C444&amp;"-"&amp;TEXT(COUNTIFS($A$2:$A444,$A444,$C$2:$C444,$C444),"000")</f>
        <v>F1-ILIA-001</v>
      </c>
      <c r="E444" s="7" t="s">
        <v>481</v>
      </c>
      <c r="F444" s="7" t="s">
        <v>482</v>
      </c>
      <c r="G444" s="7" t="s">
        <v>3</v>
      </c>
    </row>
    <row r="445" spans="1:7">
      <c r="A445" s="7" t="s">
        <v>57</v>
      </c>
      <c r="B445" s="7" t="s">
        <v>22</v>
      </c>
      <c r="C445" s="7" t="str">
        <f>VLOOKUP(B445,Indice!$B$1:$C$22,2,0)</f>
        <v>ILIA</v>
      </c>
      <c r="D445" s="7" t="str">
        <f>$A445&amp;"-"&amp;$C445&amp;"-"&amp;TEXT(COUNTIFS($A$2:$A445,$A445,$C$2:$C445,$C445),"000")</f>
        <v>F1-ILIA-002</v>
      </c>
      <c r="E445" s="7" t="s">
        <v>483</v>
      </c>
      <c r="F445" s="7" t="s">
        <v>484</v>
      </c>
      <c r="G445" s="7" t="s">
        <v>3</v>
      </c>
    </row>
    <row r="446" spans="1:7">
      <c r="A446" s="7" t="s">
        <v>57</v>
      </c>
      <c r="B446" s="7" t="s">
        <v>22</v>
      </c>
      <c r="C446" s="7" t="str">
        <f>VLOOKUP(B446,Indice!$B$1:$C$22,2,0)</f>
        <v>ILIA</v>
      </c>
      <c r="D446" s="7" t="str">
        <f>$A446&amp;"-"&amp;$C446&amp;"-"&amp;TEXT(COUNTIFS($A$2:$A446,$A446,$C$2:$C446,$C446),"000")</f>
        <v>F1-ILIA-003</v>
      </c>
      <c r="E446" s="7" t="s">
        <v>485</v>
      </c>
      <c r="F446" s="7" t="s">
        <v>484</v>
      </c>
      <c r="G446" s="7" t="s">
        <v>3</v>
      </c>
    </row>
    <row r="447" spans="1:7">
      <c r="A447" s="7" t="s">
        <v>57</v>
      </c>
      <c r="B447" s="7" t="s">
        <v>22</v>
      </c>
      <c r="C447" s="7" t="str">
        <f>VLOOKUP(B447,Indice!$B$1:$C$22,2,0)</f>
        <v>ILIA</v>
      </c>
      <c r="D447" s="7" t="str">
        <f>$A447&amp;"-"&amp;$C447&amp;"-"&amp;TEXT(COUNTIFS($A$2:$A447,$A447,$C$2:$C447,$C447),"000")</f>
        <v>F1-ILIA-004</v>
      </c>
      <c r="E447" s="7" t="s">
        <v>486</v>
      </c>
      <c r="F447" s="7" t="s">
        <v>487</v>
      </c>
      <c r="G447" s="7" t="s">
        <v>3</v>
      </c>
    </row>
    <row r="448" spans="1:7">
      <c r="A448" s="7" t="s">
        <v>57</v>
      </c>
      <c r="B448" s="7" t="s">
        <v>22</v>
      </c>
      <c r="C448" s="7" t="str">
        <f>VLOOKUP(B448,Indice!$B$1:$C$22,2,0)</f>
        <v>ILIA</v>
      </c>
      <c r="D448" s="7" t="str">
        <f>$A448&amp;"-"&amp;$C448&amp;"-"&amp;TEXT(COUNTIFS($A$2:$A448,$A448,$C$2:$C448,$C448),"000")</f>
        <v>F1-ILIA-005</v>
      </c>
      <c r="E448" s="7" t="s">
        <v>488</v>
      </c>
      <c r="F448" s="7" t="s">
        <v>487</v>
      </c>
      <c r="G448" s="7" t="s">
        <v>3</v>
      </c>
    </row>
    <row r="449" spans="1:7">
      <c r="A449" s="7" t="s">
        <v>57</v>
      </c>
      <c r="B449" s="7" t="s">
        <v>22</v>
      </c>
      <c r="C449" s="7" t="str">
        <f>VLOOKUP(B449,Indice!$B$1:$C$22,2,0)</f>
        <v>ILIA</v>
      </c>
      <c r="D449" s="7" t="str">
        <f>$A449&amp;"-"&amp;$C449&amp;"-"&amp;TEXT(COUNTIFS($A$2:$A449,$A449,$C$2:$C449,$C449),"000")</f>
        <v>F1-ILIA-006</v>
      </c>
      <c r="E449" s="7" t="s">
        <v>489</v>
      </c>
      <c r="F449" s="7" t="s">
        <v>487</v>
      </c>
      <c r="G449" s="7" t="s">
        <v>3</v>
      </c>
    </row>
    <row r="450" spans="1:7">
      <c r="A450" s="7" t="s">
        <v>57</v>
      </c>
      <c r="B450" s="7" t="s">
        <v>22</v>
      </c>
      <c r="C450" s="7" t="str">
        <f>VLOOKUP(B450,Indice!$B$1:$C$22,2,0)</f>
        <v>ILIA</v>
      </c>
      <c r="D450" s="7" t="str">
        <f>$A450&amp;"-"&amp;$C450&amp;"-"&amp;TEXT(COUNTIFS($A$2:$A450,$A450,$C$2:$C450,$C450),"000")</f>
        <v>F1-ILIA-007</v>
      </c>
      <c r="E450" s="7" t="s">
        <v>490</v>
      </c>
      <c r="F450" s="7" t="s">
        <v>487</v>
      </c>
      <c r="G450" s="7" t="s">
        <v>3</v>
      </c>
    </row>
    <row r="451" spans="1:7">
      <c r="A451" s="7" t="s">
        <v>57</v>
      </c>
      <c r="B451" s="7" t="s">
        <v>22</v>
      </c>
      <c r="C451" s="7" t="str">
        <f>VLOOKUP(B451,Indice!$B$1:$C$22,2,0)</f>
        <v>ILIA</v>
      </c>
      <c r="D451" s="7" t="str">
        <f>$A451&amp;"-"&amp;$C451&amp;"-"&amp;TEXT(COUNTIFS($A$2:$A451,$A451,$C$2:$C451,$C451),"000")</f>
        <v>F1-ILIA-008</v>
      </c>
      <c r="E451" s="7" t="s">
        <v>491</v>
      </c>
      <c r="F451" s="7" t="s">
        <v>487</v>
      </c>
      <c r="G451" s="7" t="s">
        <v>3</v>
      </c>
    </row>
    <row r="452" spans="1:7">
      <c r="A452" s="7" t="s">
        <v>57</v>
      </c>
      <c r="B452" s="7" t="s">
        <v>22</v>
      </c>
      <c r="C452" s="7" t="str">
        <f>VLOOKUP(B452,Indice!$B$1:$C$22,2,0)</f>
        <v>ILIA</v>
      </c>
      <c r="D452" s="7" t="str">
        <f>$A452&amp;"-"&amp;$C452&amp;"-"&amp;TEXT(COUNTIFS($A$2:$A452,$A452,$C$2:$C452,$C452),"000")</f>
        <v>F1-ILIA-009</v>
      </c>
      <c r="E452" s="7" t="s">
        <v>492</v>
      </c>
      <c r="F452" s="7" t="s">
        <v>487</v>
      </c>
      <c r="G452" s="7" t="s">
        <v>3</v>
      </c>
    </row>
    <row r="453" spans="1:7">
      <c r="A453" s="7" t="s">
        <v>57</v>
      </c>
      <c r="B453" s="7" t="s">
        <v>22</v>
      </c>
      <c r="C453" s="7" t="str">
        <f>VLOOKUP(B453,Indice!$B$1:$C$22,2,0)</f>
        <v>ILIA</v>
      </c>
      <c r="D453" s="7" t="str">
        <f>$A453&amp;"-"&amp;$C453&amp;"-"&amp;TEXT(COUNTIFS($A$2:$A453,$A453,$C$2:$C453,$C453),"000")</f>
        <v>F1-ILIA-010</v>
      </c>
      <c r="E453" s="7" t="s">
        <v>493</v>
      </c>
      <c r="F453" s="7" t="s">
        <v>482</v>
      </c>
      <c r="G453" s="7" t="s">
        <v>3</v>
      </c>
    </row>
    <row r="454" spans="1:7">
      <c r="A454" s="7" t="s">
        <v>57</v>
      </c>
      <c r="B454" s="7" t="s">
        <v>24</v>
      </c>
      <c r="C454" s="7" t="str">
        <f>VLOOKUP(B454,Indice!$B$1:$C$22,2,0)</f>
        <v>RUTAN</v>
      </c>
      <c r="D454" s="7" t="str">
        <f>$A454&amp;"-"&amp;$C454&amp;"-"&amp;TEXT(COUNTIFS($A$2:$A454,$A454,$C$2:$C454,$C454),"000")</f>
        <v>F1-RUTAN-001</v>
      </c>
      <c r="E454" s="7" t="s">
        <v>494</v>
      </c>
      <c r="F454" s="7" t="s">
        <v>495</v>
      </c>
      <c r="G454" s="7" t="s">
        <v>5</v>
      </c>
    </row>
    <row r="455" spans="1:7">
      <c r="A455" s="7" t="s">
        <v>57</v>
      </c>
      <c r="B455" s="7" t="s">
        <v>24</v>
      </c>
      <c r="C455" s="7" t="str">
        <f>VLOOKUP(B455,Indice!$B$1:$C$22,2,0)</f>
        <v>RUTAN</v>
      </c>
      <c r="D455" s="7" t="str">
        <f>$A455&amp;"-"&amp;$C455&amp;"-"&amp;TEXT(COUNTIFS($A$2:$A455,$A455,$C$2:$C455,$C455),"000")</f>
        <v>F1-RUTAN-002</v>
      </c>
      <c r="E455" s="7" t="s">
        <v>496</v>
      </c>
      <c r="F455" s="7" t="s">
        <v>495</v>
      </c>
      <c r="G455" s="7" t="s">
        <v>4</v>
      </c>
    </row>
    <row r="456" spans="1:7">
      <c r="A456" s="7" t="s">
        <v>57</v>
      </c>
      <c r="B456" s="7" t="s">
        <v>24</v>
      </c>
      <c r="C456" s="7" t="str">
        <f>VLOOKUP(B456,Indice!$B$1:$C$22,2,0)</f>
        <v>RUTAN</v>
      </c>
      <c r="D456" s="7" t="str">
        <f>$A456&amp;"-"&amp;$C456&amp;"-"&amp;TEXT(COUNTIFS($A$2:$A456,$A456,$C$2:$C456,$C456),"000")</f>
        <v>F1-RUTAN-003</v>
      </c>
      <c r="E456" s="7" t="s">
        <v>497</v>
      </c>
      <c r="F456" s="7" t="s">
        <v>498</v>
      </c>
      <c r="G456" s="7" t="s">
        <v>3</v>
      </c>
    </row>
    <row r="457" spans="1:7">
      <c r="A457" s="7" t="s">
        <v>57</v>
      </c>
      <c r="B457" s="7" t="s">
        <v>24</v>
      </c>
      <c r="C457" s="7" t="str">
        <f>VLOOKUP(B457,Indice!$B$1:$C$22,2,0)</f>
        <v>RUTAN</v>
      </c>
      <c r="D457" s="7" t="str">
        <f>$A457&amp;"-"&amp;$C457&amp;"-"&amp;TEXT(COUNTIFS($A$2:$A457,$A457,$C$2:$C457,$C457),"000")</f>
        <v>F1-RUTAN-004</v>
      </c>
      <c r="E457" s="7" t="s">
        <v>499</v>
      </c>
      <c r="F457" s="7" t="s">
        <v>498</v>
      </c>
      <c r="G457" s="7" t="s">
        <v>3</v>
      </c>
    </row>
    <row r="458" spans="1:7">
      <c r="A458" s="7" t="s">
        <v>57</v>
      </c>
      <c r="B458" s="7" t="s">
        <v>24</v>
      </c>
      <c r="C458" s="7" t="str">
        <f>VLOOKUP(B458,Indice!$B$1:$C$22,2,0)</f>
        <v>RUTAN</v>
      </c>
      <c r="D458" s="7" t="str">
        <f>$A458&amp;"-"&amp;$C458&amp;"-"&amp;TEXT(COUNTIFS($A$2:$A458,$A458,$C$2:$C458,$C458),"000")</f>
        <v>F1-RUTAN-005</v>
      </c>
      <c r="E458" s="7" t="s">
        <v>500</v>
      </c>
      <c r="F458" s="7" t="s">
        <v>498</v>
      </c>
      <c r="G458" s="7" t="s">
        <v>3</v>
      </c>
    </row>
    <row r="459" spans="1:7">
      <c r="A459" s="7" t="s">
        <v>57</v>
      </c>
      <c r="B459" s="7" t="s">
        <v>24</v>
      </c>
      <c r="C459" s="7" t="str">
        <f>VLOOKUP(B459,Indice!$B$1:$C$22,2,0)</f>
        <v>RUTAN</v>
      </c>
      <c r="D459" s="7" t="str">
        <f>$A459&amp;"-"&amp;$C459&amp;"-"&amp;TEXT(COUNTIFS($A$2:$A459,$A459,$C$2:$C459,$C459),"000")</f>
        <v>F1-RUTAN-006</v>
      </c>
      <c r="E459" s="7" t="s">
        <v>501</v>
      </c>
      <c r="F459" s="7" t="s">
        <v>498</v>
      </c>
      <c r="G459" s="7" t="s">
        <v>3</v>
      </c>
    </row>
    <row r="460" spans="1:7">
      <c r="A460" s="7" t="s">
        <v>57</v>
      </c>
      <c r="B460" s="7" t="s">
        <v>24</v>
      </c>
      <c r="C460" s="7" t="str">
        <f>VLOOKUP(B460,Indice!$B$1:$C$22,2,0)</f>
        <v>RUTAN</v>
      </c>
      <c r="D460" s="7" t="str">
        <f>$A460&amp;"-"&amp;$C460&amp;"-"&amp;TEXT(COUNTIFS($A$2:$A460,$A460,$C$2:$C460,$C460),"000")</f>
        <v>F1-RUTAN-007</v>
      </c>
      <c r="E460" s="7" t="s">
        <v>502</v>
      </c>
      <c r="F460" s="7" t="s">
        <v>498</v>
      </c>
      <c r="G460" s="7" t="s">
        <v>3</v>
      </c>
    </row>
    <row r="461" spans="1:7">
      <c r="A461" s="7" t="s">
        <v>503</v>
      </c>
      <c r="B461" s="7" t="s">
        <v>27</v>
      </c>
      <c r="C461" s="7" t="str">
        <f>VLOOKUP(B461,Indice!$B$1:$C$22,2,0)</f>
        <v>CSIS</v>
      </c>
      <c r="D461" s="7" t="str">
        <f>$A461&amp;"-"&amp;$C461&amp;"-"&amp;TEXT(COUNTIFS($A$2:$A461,$A461,$C$2:$C461,$C461),"000")</f>
        <v>F2-CSIS-001</v>
      </c>
      <c r="E461" s="7" t="s">
        <v>504</v>
      </c>
      <c r="F461" s="7" t="s">
        <v>505</v>
      </c>
      <c r="G461" s="7" t="s">
        <v>3</v>
      </c>
    </row>
    <row r="462" spans="1:7">
      <c r="A462" s="7" t="s">
        <v>503</v>
      </c>
      <c r="B462" s="7" t="s">
        <v>27</v>
      </c>
      <c r="C462" s="7" t="str">
        <f>VLOOKUP(B462,Indice!$B$1:$C$22,2,0)</f>
        <v>CSIS</v>
      </c>
      <c r="D462" s="7" t="str">
        <f>$A462&amp;"-"&amp;$C462&amp;"-"&amp;TEXT(COUNTIFS($A$2:$A462,$A462,$C$2:$C462,$C462),"000")</f>
        <v>F2-CSIS-002</v>
      </c>
      <c r="E462" s="7" t="s">
        <v>506</v>
      </c>
      <c r="F462" s="7" t="s">
        <v>505</v>
      </c>
      <c r="G462" s="7" t="s">
        <v>3</v>
      </c>
    </row>
    <row r="463" spans="1:7">
      <c r="A463" s="7" t="s">
        <v>503</v>
      </c>
      <c r="B463" s="7" t="s">
        <v>27</v>
      </c>
      <c r="C463" s="7" t="str">
        <f>VLOOKUP(B463,Indice!$B$1:$C$22,2,0)</f>
        <v>CSIS</v>
      </c>
      <c r="D463" s="7" t="str">
        <f>$A463&amp;"-"&amp;$C463&amp;"-"&amp;TEXT(COUNTIFS($A$2:$A463,$A463,$C$2:$C463,$C463),"000")</f>
        <v>F2-CSIS-003</v>
      </c>
      <c r="E463" s="7" t="s">
        <v>507</v>
      </c>
      <c r="F463" s="7" t="s">
        <v>505</v>
      </c>
      <c r="G463" s="7" t="s">
        <v>3</v>
      </c>
    </row>
    <row r="464" spans="1:7">
      <c r="A464" s="7" t="s">
        <v>503</v>
      </c>
      <c r="B464" s="7" t="s">
        <v>27</v>
      </c>
      <c r="C464" s="7" t="str">
        <f>VLOOKUP(B464,Indice!$B$1:$C$22,2,0)</f>
        <v>CSIS</v>
      </c>
      <c r="D464" s="7" t="str">
        <f>$A464&amp;"-"&amp;$C464&amp;"-"&amp;TEXT(COUNTIFS($A$2:$A464,$A464,$C$2:$C464,$C464),"000")</f>
        <v>F2-CSIS-004</v>
      </c>
      <c r="E464" s="7" t="s">
        <v>508</v>
      </c>
      <c r="F464" s="7" t="s">
        <v>505</v>
      </c>
      <c r="G464" s="7" t="s">
        <v>3</v>
      </c>
    </row>
    <row r="465" spans="1:7">
      <c r="A465" s="7" t="s">
        <v>503</v>
      </c>
      <c r="B465" s="7" t="s">
        <v>27</v>
      </c>
      <c r="C465" s="7" t="str">
        <f>VLOOKUP(B465,Indice!$B$1:$C$22,2,0)</f>
        <v>CSIS</v>
      </c>
      <c r="D465" s="7" t="str">
        <f>$A465&amp;"-"&amp;$C465&amp;"-"&amp;TEXT(COUNTIFS($A$2:$A465,$A465,$C$2:$C465,$C465),"000")</f>
        <v>F2-CSIS-005</v>
      </c>
      <c r="E465" s="7" t="s">
        <v>509</v>
      </c>
      <c r="F465" s="7" t="s">
        <v>505</v>
      </c>
      <c r="G465" s="7" t="s">
        <v>3</v>
      </c>
    </row>
    <row r="466" spans="1:7">
      <c r="A466" s="7" t="s">
        <v>503</v>
      </c>
      <c r="B466" s="7" t="s">
        <v>27</v>
      </c>
      <c r="C466" s="7" t="str">
        <f>VLOOKUP(B466,Indice!$B$1:$C$22,2,0)</f>
        <v>CSIS</v>
      </c>
      <c r="D466" s="7" t="str">
        <f>$A466&amp;"-"&amp;$C466&amp;"-"&amp;TEXT(COUNTIFS($A$2:$A466,$A466,$C$2:$C466,$C466),"000")</f>
        <v>F2-CSIS-006</v>
      </c>
      <c r="E466" s="7" t="s">
        <v>510</v>
      </c>
      <c r="F466" s="7" t="s">
        <v>505</v>
      </c>
      <c r="G466" s="7" t="s">
        <v>3</v>
      </c>
    </row>
    <row r="467" spans="1:7">
      <c r="A467" s="7" t="s">
        <v>503</v>
      </c>
      <c r="B467" s="7" t="s">
        <v>27</v>
      </c>
      <c r="C467" s="7" t="str">
        <f>VLOOKUP(B467,Indice!$B$1:$C$22,2,0)</f>
        <v>CSIS</v>
      </c>
      <c r="D467" s="7" t="str">
        <f>$A467&amp;"-"&amp;$C467&amp;"-"&amp;TEXT(COUNTIFS($A$2:$A467,$A467,$C$2:$C467,$C467),"000")</f>
        <v>F2-CSIS-007</v>
      </c>
      <c r="E467" s="7" t="s">
        <v>511</v>
      </c>
      <c r="F467" s="7" t="s">
        <v>505</v>
      </c>
      <c r="G467" s="7" t="s">
        <v>3</v>
      </c>
    </row>
    <row r="468" spans="1:7">
      <c r="A468" s="7" t="s">
        <v>503</v>
      </c>
      <c r="B468" s="7" t="s">
        <v>27</v>
      </c>
      <c r="C468" s="7" t="str">
        <f>VLOOKUP(B468,Indice!$B$1:$C$22,2,0)</f>
        <v>CSIS</v>
      </c>
      <c r="D468" s="7" t="str">
        <f>$A468&amp;"-"&amp;$C468&amp;"-"&amp;TEXT(COUNTIFS($A$2:$A468,$A468,$C$2:$C468,$C468),"000")</f>
        <v>F2-CSIS-008</v>
      </c>
      <c r="E468" s="7" t="s">
        <v>512</v>
      </c>
      <c r="F468" s="7" t="s">
        <v>505</v>
      </c>
      <c r="G468" s="7" t="s">
        <v>3</v>
      </c>
    </row>
    <row r="469" spans="1:7">
      <c r="A469" s="7" t="s">
        <v>503</v>
      </c>
      <c r="B469" s="7" t="s">
        <v>27</v>
      </c>
      <c r="C469" s="7" t="str">
        <f>VLOOKUP(B469,Indice!$B$1:$C$22,2,0)</f>
        <v>CSIS</v>
      </c>
      <c r="D469" s="7" t="str">
        <f>$A469&amp;"-"&amp;$C469&amp;"-"&amp;TEXT(COUNTIFS($A$2:$A469,$A469,$C$2:$C469,$C469),"000")</f>
        <v>F2-CSIS-009</v>
      </c>
      <c r="E469" s="7" t="s">
        <v>513</v>
      </c>
      <c r="F469" s="7" t="s">
        <v>505</v>
      </c>
      <c r="G469" s="7" t="s">
        <v>3</v>
      </c>
    </row>
    <row r="470" spans="1:7">
      <c r="A470" s="7" t="s">
        <v>503</v>
      </c>
      <c r="B470" s="7" t="s">
        <v>27</v>
      </c>
      <c r="C470" s="7" t="str">
        <f>VLOOKUP(B470,Indice!$B$1:$C$22,2,0)</f>
        <v>CSIS</v>
      </c>
      <c r="D470" s="7" t="str">
        <f>$A470&amp;"-"&amp;$C470&amp;"-"&amp;TEXT(COUNTIFS($A$2:$A470,$A470,$C$2:$C470,$C470),"000")</f>
        <v>F2-CSIS-010</v>
      </c>
      <c r="E470" s="7" t="s">
        <v>514</v>
      </c>
      <c r="F470" s="7" t="s">
        <v>505</v>
      </c>
      <c r="G470" s="7" t="s">
        <v>3</v>
      </c>
    </row>
    <row r="471" spans="1:7">
      <c r="A471" s="7" t="s">
        <v>503</v>
      </c>
      <c r="B471" s="7" t="s">
        <v>27</v>
      </c>
      <c r="C471" s="7" t="str">
        <f>VLOOKUP(B471,Indice!$B$1:$C$22,2,0)</f>
        <v>CSIS</v>
      </c>
      <c r="D471" s="7" t="str">
        <f>$A471&amp;"-"&amp;$C471&amp;"-"&amp;TEXT(COUNTIFS($A$2:$A471,$A471,$C$2:$C471,$C471),"000")</f>
        <v>F2-CSIS-011</v>
      </c>
      <c r="E471" s="7" t="s">
        <v>515</v>
      </c>
      <c r="F471" s="7" t="s">
        <v>505</v>
      </c>
      <c r="G471" s="7" t="s">
        <v>3</v>
      </c>
    </row>
    <row r="472" spans="1:7">
      <c r="A472" s="7" t="s">
        <v>503</v>
      </c>
      <c r="B472" s="7" t="s">
        <v>27</v>
      </c>
      <c r="C472" s="7" t="str">
        <f>VLOOKUP(B472,Indice!$B$1:$C$22,2,0)</f>
        <v>CSIS</v>
      </c>
      <c r="D472" s="7" t="str">
        <f>$A472&amp;"-"&amp;$C472&amp;"-"&amp;TEXT(COUNTIFS($A$2:$A472,$A472,$C$2:$C472,$C472),"000")</f>
        <v>F2-CSIS-012</v>
      </c>
      <c r="E472" s="7" t="s">
        <v>516</v>
      </c>
      <c r="F472" s="7" t="s">
        <v>505</v>
      </c>
      <c r="G472" s="7" t="s">
        <v>3</v>
      </c>
    </row>
    <row r="473" spans="1:7">
      <c r="A473" s="7" t="s">
        <v>503</v>
      </c>
      <c r="B473" s="7" t="s">
        <v>27</v>
      </c>
      <c r="C473" s="7" t="str">
        <f>VLOOKUP(B473,Indice!$B$1:$C$22,2,0)</f>
        <v>CSIS</v>
      </c>
      <c r="D473" s="7" t="str">
        <f>$A473&amp;"-"&amp;$C473&amp;"-"&amp;TEXT(COUNTIFS($A$2:$A473,$A473,$C$2:$C473,$C473),"000")</f>
        <v>F2-CSIS-013</v>
      </c>
      <c r="E473" s="7" t="s">
        <v>517</v>
      </c>
      <c r="F473" s="7" t="s">
        <v>505</v>
      </c>
      <c r="G473" s="7" t="s">
        <v>3</v>
      </c>
    </row>
    <row r="474" spans="1:7">
      <c r="A474" s="7" t="s">
        <v>503</v>
      </c>
      <c r="B474" s="7" t="s">
        <v>27</v>
      </c>
      <c r="C474" s="7" t="str">
        <f>VLOOKUP(B474,Indice!$B$1:$C$22,2,0)</f>
        <v>CSIS</v>
      </c>
      <c r="D474" s="7" t="str">
        <f>$A474&amp;"-"&amp;$C474&amp;"-"&amp;TEXT(COUNTIFS($A$2:$A474,$A474,$C$2:$C474,$C474),"000")</f>
        <v>F2-CSIS-014</v>
      </c>
      <c r="E474" s="7" t="s">
        <v>518</v>
      </c>
      <c r="F474" s="7" t="s">
        <v>519</v>
      </c>
      <c r="G474" s="7" t="s">
        <v>4</v>
      </c>
    </row>
    <row r="475" spans="1:7">
      <c r="A475" s="7" t="s">
        <v>503</v>
      </c>
      <c r="B475" s="7" t="s">
        <v>27</v>
      </c>
      <c r="C475" s="7" t="str">
        <f>VLOOKUP(B475,Indice!$B$1:$C$22,2,0)</f>
        <v>CSIS</v>
      </c>
      <c r="D475" s="7" t="str">
        <f>$A475&amp;"-"&amp;$C475&amp;"-"&amp;TEXT(COUNTIFS($A$2:$A475,$A475,$C$2:$C475,$C475),"000")</f>
        <v>F2-CSIS-015</v>
      </c>
      <c r="E475" s="7" t="s">
        <v>520</v>
      </c>
      <c r="F475" s="7" t="s">
        <v>519</v>
      </c>
      <c r="G475" s="7" t="s">
        <v>4</v>
      </c>
    </row>
    <row r="476" spans="1:7">
      <c r="A476" s="7" t="s">
        <v>503</v>
      </c>
      <c r="B476" s="7" t="s">
        <v>27</v>
      </c>
      <c r="C476" s="7" t="str">
        <f>VLOOKUP(B476,Indice!$B$1:$C$22,2,0)</f>
        <v>CSIS</v>
      </c>
      <c r="D476" s="7" t="str">
        <f>$A476&amp;"-"&amp;$C476&amp;"-"&amp;TEXT(COUNTIFS($A$2:$A476,$A476,$C$2:$C476,$C476),"000")</f>
        <v>F2-CSIS-016</v>
      </c>
      <c r="E476" s="7" t="s">
        <v>521</v>
      </c>
      <c r="F476" s="7" t="s">
        <v>519</v>
      </c>
      <c r="G476" s="7" t="s">
        <v>4</v>
      </c>
    </row>
    <row r="477" spans="1:7">
      <c r="A477" s="7" t="s">
        <v>503</v>
      </c>
      <c r="B477" s="7" t="s">
        <v>27</v>
      </c>
      <c r="C477" s="7" t="str">
        <f>VLOOKUP(B477,Indice!$B$1:$C$22,2,0)</f>
        <v>CSIS</v>
      </c>
      <c r="D477" s="7" t="str">
        <f>$A477&amp;"-"&amp;$C477&amp;"-"&amp;TEXT(COUNTIFS($A$2:$A477,$A477,$C$2:$C477,$C477),"000")</f>
        <v>F2-CSIS-017</v>
      </c>
      <c r="E477" s="7" t="s">
        <v>522</v>
      </c>
      <c r="F477" s="7" t="s">
        <v>519</v>
      </c>
      <c r="G477" s="7" t="s">
        <v>4</v>
      </c>
    </row>
    <row r="478" spans="1:7">
      <c r="A478" s="7" t="s">
        <v>503</v>
      </c>
      <c r="B478" s="7" t="s">
        <v>27</v>
      </c>
      <c r="C478" s="7" t="str">
        <f>VLOOKUP(B478,Indice!$B$1:$C$22,2,0)</f>
        <v>CSIS</v>
      </c>
      <c r="D478" s="7" t="str">
        <f>$A478&amp;"-"&amp;$C478&amp;"-"&amp;TEXT(COUNTIFS($A$2:$A478,$A478,$C$2:$C478,$C478),"000")</f>
        <v>F2-CSIS-018</v>
      </c>
      <c r="E478" s="7" t="s">
        <v>523</v>
      </c>
      <c r="F478" s="7" t="s">
        <v>519</v>
      </c>
      <c r="G478" s="7" t="s">
        <v>4</v>
      </c>
    </row>
    <row r="479" spans="1:7">
      <c r="A479" s="7" t="s">
        <v>503</v>
      </c>
      <c r="B479" s="7" t="s">
        <v>27</v>
      </c>
      <c r="C479" s="7" t="str">
        <f>VLOOKUP(B479,Indice!$B$1:$C$22,2,0)</f>
        <v>CSIS</v>
      </c>
      <c r="D479" s="7" t="str">
        <f>$A479&amp;"-"&amp;$C479&amp;"-"&amp;TEXT(COUNTIFS($A$2:$A479,$A479,$C$2:$C479,$C479),"000")</f>
        <v>F2-CSIS-019</v>
      </c>
      <c r="E479" s="7" t="s">
        <v>524</v>
      </c>
      <c r="F479" s="7" t="s">
        <v>519</v>
      </c>
      <c r="G479" s="7" t="s">
        <v>4</v>
      </c>
    </row>
    <row r="480" spans="1:7">
      <c r="A480" s="7" t="s">
        <v>503</v>
      </c>
      <c r="B480" s="7" t="s">
        <v>27</v>
      </c>
      <c r="C480" s="7" t="str">
        <f>VLOOKUP(B480,Indice!$B$1:$C$22,2,0)</f>
        <v>CSIS</v>
      </c>
      <c r="D480" s="7" t="str">
        <f>$A480&amp;"-"&amp;$C480&amp;"-"&amp;TEXT(COUNTIFS($A$2:$A480,$A480,$C$2:$C480,$C480),"000")</f>
        <v>F2-CSIS-020</v>
      </c>
      <c r="E480" s="7" t="s">
        <v>525</v>
      </c>
      <c r="F480" s="7" t="s">
        <v>519</v>
      </c>
      <c r="G480" s="7" t="s">
        <v>4</v>
      </c>
    </row>
    <row r="481" spans="1:7">
      <c r="A481" s="7" t="s">
        <v>503</v>
      </c>
      <c r="B481" s="7" t="s">
        <v>27</v>
      </c>
      <c r="C481" s="7" t="str">
        <f>VLOOKUP(B481,Indice!$B$1:$C$22,2,0)</f>
        <v>CSIS</v>
      </c>
      <c r="D481" s="7" t="str">
        <f>$A481&amp;"-"&amp;$C481&amp;"-"&amp;TEXT(COUNTIFS($A$2:$A481,$A481,$C$2:$C481,$C481),"000")</f>
        <v>F2-CSIS-021</v>
      </c>
      <c r="E481" s="7" t="s">
        <v>526</v>
      </c>
      <c r="F481" s="7" t="s">
        <v>519</v>
      </c>
      <c r="G481" s="7" t="s">
        <v>4</v>
      </c>
    </row>
    <row r="482" spans="1:7">
      <c r="A482" s="7" t="s">
        <v>503</v>
      </c>
      <c r="B482" s="7" t="s">
        <v>27</v>
      </c>
      <c r="C482" s="7" t="str">
        <f>VLOOKUP(B482,Indice!$B$1:$C$22,2,0)</f>
        <v>CSIS</v>
      </c>
      <c r="D482" s="7" t="str">
        <f>$A482&amp;"-"&amp;$C482&amp;"-"&amp;TEXT(COUNTIFS($A$2:$A482,$A482,$C$2:$C482,$C482),"000")</f>
        <v>F2-CSIS-022</v>
      </c>
      <c r="E482" s="7" t="s">
        <v>527</v>
      </c>
      <c r="F482" s="7" t="s">
        <v>519</v>
      </c>
      <c r="G482" s="7" t="s">
        <v>4</v>
      </c>
    </row>
    <row r="483" spans="1:7">
      <c r="A483" s="7" t="s">
        <v>503</v>
      </c>
      <c r="B483" s="7" t="s">
        <v>27</v>
      </c>
      <c r="C483" s="7" t="str">
        <f>VLOOKUP(B483,Indice!$B$1:$C$22,2,0)</f>
        <v>CSIS</v>
      </c>
      <c r="D483" s="7" t="str">
        <f>$A483&amp;"-"&amp;$C483&amp;"-"&amp;TEXT(COUNTIFS($A$2:$A483,$A483,$C$2:$C483,$C483),"000")</f>
        <v>F2-CSIS-023</v>
      </c>
      <c r="E483" s="7" t="s">
        <v>528</v>
      </c>
      <c r="F483" s="7" t="s">
        <v>519</v>
      </c>
      <c r="G483" s="7" t="s">
        <v>4</v>
      </c>
    </row>
    <row r="484" spans="1:7">
      <c r="A484" s="7" t="s">
        <v>503</v>
      </c>
      <c r="B484" s="7" t="s">
        <v>27</v>
      </c>
      <c r="C484" s="7" t="str">
        <f>VLOOKUP(B484,Indice!$B$1:$C$22,2,0)</f>
        <v>CSIS</v>
      </c>
      <c r="D484" s="7" t="str">
        <f>$A484&amp;"-"&amp;$C484&amp;"-"&amp;TEXT(COUNTIFS($A$2:$A484,$A484,$C$2:$C484,$C484),"000")</f>
        <v>F2-CSIS-024</v>
      </c>
      <c r="E484" s="7" t="s">
        <v>529</v>
      </c>
      <c r="F484" s="7" t="s">
        <v>519</v>
      </c>
      <c r="G484" s="7" t="s">
        <v>4</v>
      </c>
    </row>
    <row r="485" spans="1:7">
      <c r="A485" s="7" t="s">
        <v>503</v>
      </c>
      <c r="B485" s="7" t="s">
        <v>27</v>
      </c>
      <c r="C485" s="7" t="str">
        <f>VLOOKUP(B485,Indice!$B$1:$C$22,2,0)</f>
        <v>CSIS</v>
      </c>
      <c r="D485" s="7" t="str">
        <f>$A485&amp;"-"&amp;$C485&amp;"-"&amp;TEXT(COUNTIFS($A$2:$A485,$A485,$C$2:$C485,$C485),"000")</f>
        <v>F2-CSIS-025</v>
      </c>
      <c r="E485" s="7" t="s">
        <v>530</v>
      </c>
      <c r="F485" s="7" t="s">
        <v>519</v>
      </c>
      <c r="G485" s="7" t="s">
        <v>4</v>
      </c>
    </row>
    <row r="486" spans="1:7">
      <c r="A486" s="7" t="s">
        <v>503</v>
      </c>
      <c r="B486" s="7" t="s">
        <v>27</v>
      </c>
      <c r="C486" s="7" t="str">
        <f>VLOOKUP(B486,Indice!$B$1:$C$22,2,0)</f>
        <v>CSIS</v>
      </c>
      <c r="D486" s="7" t="str">
        <f>$A486&amp;"-"&amp;$C486&amp;"-"&amp;TEXT(COUNTIFS($A$2:$A486,$A486,$C$2:$C486,$C486),"000")</f>
        <v>F2-CSIS-026</v>
      </c>
      <c r="E486" s="7" t="s">
        <v>531</v>
      </c>
      <c r="F486" s="7" t="s">
        <v>519</v>
      </c>
      <c r="G486" s="7" t="s">
        <v>4</v>
      </c>
    </row>
    <row r="487" spans="1:7">
      <c r="A487" s="7" t="s">
        <v>503</v>
      </c>
      <c r="B487" s="7" t="s">
        <v>27</v>
      </c>
      <c r="C487" s="7" t="str">
        <f>VLOOKUP(B487,Indice!$B$1:$C$22,2,0)</f>
        <v>CSIS</v>
      </c>
      <c r="D487" s="7" t="str">
        <f>$A487&amp;"-"&amp;$C487&amp;"-"&amp;TEXT(COUNTIFS($A$2:$A487,$A487,$C$2:$C487,$C487),"000")</f>
        <v>F2-CSIS-027</v>
      </c>
      <c r="E487" s="7" t="s">
        <v>532</v>
      </c>
      <c r="F487" s="7" t="s">
        <v>519</v>
      </c>
      <c r="G487" s="7" t="s">
        <v>4</v>
      </c>
    </row>
    <row r="488" spans="1:7">
      <c r="A488" s="7" t="s">
        <v>503</v>
      </c>
      <c r="B488" s="7" t="s">
        <v>27</v>
      </c>
      <c r="C488" s="7" t="str">
        <f>VLOOKUP(B488,Indice!$B$1:$C$22,2,0)</f>
        <v>CSIS</v>
      </c>
      <c r="D488" s="7" t="str">
        <f>$A488&amp;"-"&amp;$C488&amp;"-"&amp;TEXT(COUNTIFS($A$2:$A488,$A488,$C$2:$C488,$C488),"000")</f>
        <v>F2-CSIS-028</v>
      </c>
      <c r="E488" s="7" t="s">
        <v>533</v>
      </c>
      <c r="F488" s="7" t="s">
        <v>519</v>
      </c>
      <c r="G488" s="7" t="s">
        <v>4</v>
      </c>
    </row>
    <row r="489" spans="1:7">
      <c r="A489" s="7" t="s">
        <v>503</v>
      </c>
      <c r="B489" s="7" t="s">
        <v>27</v>
      </c>
      <c r="C489" s="7" t="str">
        <f>VLOOKUP(B489,Indice!$B$1:$C$22,2,0)</f>
        <v>CSIS</v>
      </c>
      <c r="D489" s="7" t="str">
        <f>$A489&amp;"-"&amp;$C489&amp;"-"&amp;TEXT(COUNTIFS($A$2:$A489,$A489,$C$2:$C489,$C489),"000")</f>
        <v>F2-CSIS-029</v>
      </c>
      <c r="E489" s="7" t="s">
        <v>534</v>
      </c>
      <c r="F489" s="7" t="s">
        <v>519</v>
      </c>
      <c r="G489" s="7" t="s">
        <v>4</v>
      </c>
    </row>
    <row r="490" spans="1:7">
      <c r="A490" s="7" t="s">
        <v>503</v>
      </c>
      <c r="B490" s="7" t="s">
        <v>27</v>
      </c>
      <c r="C490" s="7" t="str">
        <f>VLOOKUP(B490,Indice!$B$1:$C$22,2,0)</f>
        <v>CSIS</v>
      </c>
      <c r="D490" s="7" t="str">
        <f>$A490&amp;"-"&amp;$C490&amp;"-"&amp;TEXT(COUNTIFS($A$2:$A490,$A490,$C$2:$C490,$C490),"000")</f>
        <v>F2-CSIS-030</v>
      </c>
      <c r="E490" s="7" t="s">
        <v>535</v>
      </c>
      <c r="F490" s="7" t="s">
        <v>519</v>
      </c>
      <c r="G490" s="7" t="s">
        <v>4</v>
      </c>
    </row>
    <row r="491" spans="1:7">
      <c r="A491" s="7" t="s">
        <v>503</v>
      </c>
      <c r="B491" s="7" t="s">
        <v>27</v>
      </c>
      <c r="C491" s="7" t="str">
        <f>VLOOKUP(B491,Indice!$B$1:$C$22,2,0)</f>
        <v>CSIS</v>
      </c>
      <c r="D491" s="7" t="str">
        <f>$A491&amp;"-"&amp;$C491&amp;"-"&amp;TEXT(COUNTIFS($A$2:$A491,$A491,$C$2:$C491,$C491),"000")</f>
        <v>F2-CSIS-031</v>
      </c>
      <c r="E491" s="7" t="s">
        <v>536</v>
      </c>
      <c r="F491" s="7" t="s">
        <v>519</v>
      </c>
      <c r="G491" s="7" t="s">
        <v>4</v>
      </c>
    </row>
    <row r="492" spans="1:7">
      <c r="A492" s="7" t="s">
        <v>503</v>
      </c>
      <c r="B492" s="7" t="s">
        <v>27</v>
      </c>
      <c r="C492" s="7" t="str">
        <f>VLOOKUP(B492,Indice!$B$1:$C$22,2,0)</f>
        <v>CSIS</v>
      </c>
      <c r="D492" s="7" t="str">
        <f>$A492&amp;"-"&amp;$C492&amp;"-"&amp;TEXT(COUNTIFS($A$2:$A492,$A492,$C$2:$C492,$C492),"000")</f>
        <v>F2-CSIS-032</v>
      </c>
      <c r="E492" s="7" t="s">
        <v>537</v>
      </c>
      <c r="F492" s="7" t="s">
        <v>519</v>
      </c>
      <c r="G492" s="7" t="s">
        <v>4</v>
      </c>
    </row>
    <row r="493" spans="1:7">
      <c r="A493" s="7" t="s">
        <v>503</v>
      </c>
      <c r="B493" s="7" t="s">
        <v>27</v>
      </c>
      <c r="C493" s="7" t="str">
        <f>VLOOKUP(B493,Indice!$B$1:$C$22,2,0)</f>
        <v>CSIS</v>
      </c>
      <c r="D493" s="7" t="str">
        <f>$A493&amp;"-"&amp;$C493&amp;"-"&amp;TEXT(COUNTIFS($A$2:$A493,$A493,$C$2:$C493,$C493),"000")</f>
        <v>F2-CSIS-033</v>
      </c>
      <c r="E493" s="7" t="s">
        <v>538</v>
      </c>
      <c r="F493" s="7" t="s">
        <v>519</v>
      </c>
      <c r="G493" s="7" t="s">
        <v>4</v>
      </c>
    </row>
    <row r="494" spans="1:7">
      <c r="A494" s="7" t="s">
        <v>503</v>
      </c>
      <c r="B494" s="7" t="s">
        <v>27</v>
      </c>
      <c r="C494" s="7" t="str">
        <f>VLOOKUP(B494,Indice!$B$1:$C$22,2,0)</f>
        <v>CSIS</v>
      </c>
      <c r="D494" s="7" t="str">
        <f>$A494&amp;"-"&amp;$C494&amp;"-"&amp;TEXT(COUNTIFS($A$2:$A494,$A494,$C$2:$C494,$C494),"000")</f>
        <v>F2-CSIS-034</v>
      </c>
      <c r="E494" s="7" t="s">
        <v>539</v>
      </c>
      <c r="F494" s="7" t="s">
        <v>519</v>
      </c>
      <c r="G494" s="7" t="s">
        <v>4</v>
      </c>
    </row>
    <row r="495" spans="1:7">
      <c r="A495" s="7" t="s">
        <v>503</v>
      </c>
      <c r="B495" s="7" t="s">
        <v>27</v>
      </c>
      <c r="C495" s="7" t="str">
        <f>VLOOKUP(B495,Indice!$B$1:$C$22,2,0)</f>
        <v>CSIS</v>
      </c>
      <c r="D495" s="7" t="str">
        <f>$A495&amp;"-"&amp;$C495&amp;"-"&amp;TEXT(COUNTIFS($A$2:$A495,$A495,$C$2:$C495,$C495),"000")</f>
        <v>F2-CSIS-035</v>
      </c>
      <c r="E495" s="7" t="s">
        <v>540</v>
      </c>
      <c r="F495" s="7" t="s">
        <v>519</v>
      </c>
      <c r="G495" s="7" t="s">
        <v>4</v>
      </c>
    </row>
    <row r="496" spans="1:7">
      <c r="A496" s="7" t="s">
        <v>503</v>
      </c>
      <c r="B496" s="7" t="s">
        <v>27</v>
      </c>
      <c r="C496" s="7" t="str">
        <f>VLOOKUP(B496,Indice!$B$1:$C$22,2,0)</f>
        <v>CSIS</v>
      </c>
      <c r="D496" s="7" t="str">
        <f>$A496&amp;"-"&amp;$C496&amp;"-"&amp;TEXT(COUNTIFS($A$2:$A496,$A496,$C$2:$C496,$C496),"000")</f>
        <v>F2-CSIS-036</v>
      </c>
      <c r="E496" s="7" t="s">
        <v>541</v>
      </c>
      <c r="F496" s="7" t="s">
        <v>519</v>
      </c>
      <c r="G496" s="7" t="s">
        <v>4</v>
      </c>
    </row>
    <row r="497" spans="1:7">
      <c r="A497" s="7" t="s">
        <v>503</v>
      </c>
      <c r="B497" s="7" t="s">
        <v>27</v>
      </c>
      <c r="C497" s="7" t="str">
        <f>VLOOKUP(B497,Indice!$B$1:$C$22,2,0)</f>
        <v>CSIS</v>
      </c>
      <c r="D497" s="7" t="str">
        <f>$A497&amp;"-"&amp;$C497&amp;"-"&amp;TEXT(COUNTIFS($A$2:$A497,$A497,$C$2:$C497,$C497),"000")</f>
        <v>F2-CSIS-037</v>
      </c>
      <c r="E497" s="7" t="s">
        <v>542</v>
      </c>
      <c r="F497" s="7" t="s">
        <v>519</v>
      </c>
      <c r="G497" s="7" t="s">
        <v>4</v>
      </c>
    </row>
    <row r="498" spans="1:7">
      <c r="A498" s="7" t="s">
        <v>503</v>
      </c>
      <c r="B498" s="7" t="s">
        <v>27</v>
      </c>
      <c r="C498" s="7" t="str">
        <f>VLOOKUP(B498,Indice!$B$1:$C$22,2,0)</f>
        <v>CSIS</v>
      </c>
      <c r="D498" s="7" t="str">
        <f>$A498&amp;"-"&amp;$C498&amp;"-"&amp;TEXT(COUNTIFS($A$2:$A498,$A498,$C$2:$C498,$C498),"000")</f>
        <v>F2-CSIS-038</v>
      </c>
      <c r="E498" s="7" t="s">
        <v>543</v>
      </c>
      <c r="F498" s="7" t="s">
        <v>519</v>
      </c>
      <c r="G498" s="7" t="s">
        <v>4</v>
      </c>
    </row>
    <row r="499" spans="1:7">
      <c r="A499" s="7" t="s">
        <v>503</v>
      </c>
      <c r="B499" s="7" t="s">
        <v>27</v>
      </c>
      <c r="C499" s="7" t="str">
        <f>VLOOKUP(B499,Indice!$B$1:$C$22,2,0)</f>
        <v>CSIS</v>
      </c>
      <c r="D499" s="7" t="str">
        <f>$A499&amp;"-"&amp;$C499&amp;"-"&amp;TEXT(COUNTIFS($A$2:$A499,$A499,$C$2:$C499,$C499),"000")</f>
        <v>F2-CSIS-039</v>
      </c>
      <c r="E499" s="7" t="s">
        <v>544</v>
      </c>
      <c r="F499" s="7" t="s">
        <v>519</v>
      </c>
      <c r="G499" s="7" t="s">
        <v>4</v>
      </c>
    </row>
    <row r="500" spans="1:7">
      <c r="A500" s="7" t="s">
        <v>503</v>
      </c>
      <c r="B500" s="7" t="s">
        <v>27</v>
      </c>
      <c r="C500" s="7" t="str">
        <f>VLOOKUP(B500,Indice!$B$1:$C$22,2,0)</f>
        <v>CSIS</v>
      </c>
      <c r="D500" s="7" t="str">
        <f>$A500&amp;"-"&amp;$C500&amp;"-"&amp;TEXT(COUNTIFS($A$2:$A500,$A500,$C$2:$C500,$C500),"000")</f>
        <v>F2-CSIS-040</v>
      </c>
      <c r="E500" s="7" t="s">
        <v>545</v>
      </c>
      <c r="F500" s="7" t="s">
        <v>519</v>
      </c>
      <c r="G500" s="7" t="s">
        <v>4</v>
      </c>
    </row>
    <row r="501" spans="1:7">
      <c r="A501" s="7" t="s">
        <v>503</v>
      </c>
      <c r="B501" s="7" t="s">
        <v>27</v>
      </c>
      <c r="C501" s="7" t="str">
        <f>VLOOKUP(B501,Indice!$B$1:$C$22,2,0)</f>
        <v>CSIS</v>
      </c>
      <c r="D501" s="7" t="str">
        <f>$A501&amp;"-"&amp;$C501&amp;"-"&amp;TEXT(COUNTIFS($A$2:$A501,$A501,$C$2:$C501,$C501),"000")</f>
        <v>F2-CSIS-041</v>
      </c>
      <c r="E501" s="7" t="s">
        <v>546</v>
      </c>
      <c r="F501" s="7" t="s">
        <v>519</v>
      </c>
      <c r="G501" s="7" t="s">
        <v>4</v>
      </c>
    </row>
    <row r="502" spans="1:7">
      <c r="A502" s="7" t="s">
        <v>503</v>
      </c>
      <c r="B502" s="7" t="s">
        <v>27</v>
      </c>
      <c r="C502" s="7" t="str">
        <f>VLOOKUP(B502,Indice!$B$1:$C$22,2,0)</f>
        <v>CSIS</v>
      </c>
      <c r="D502" s="7" t="str">
        <f>$A502&amp;"-"&amp;$C502&amp;"-"&amp;TEXT(COUNTIFS($A$2:$A502,$A502,$C$2:$C502,$C502),"000")</f>
        <v>F2-CSIS-042</v>
      </c>
      <c r="E502" s="7" t="s">
        <v>547</v>
      </c>
      <c r="F502" s="7" t="s">
        <v>519</v>
      </c>
      <c r="G502" s="7" t="s">
        <v>4</v>
      </c>
    </row>
    <row r="503" spans="1:7">
      <c r="A503" s="7" t="s">
        <v>503</v>
      </c>
      <c r="B503" s="7" t="s">
        <v>27</v>
      </c>
      <c r="C503" s="7" t="str">
        <f>VLOOKUP(B503,Indice!$B$1:$C$22,2,0)</f>
        <v>CSIS</v>
      </c>
      <c r="D503" s="7" t="str">
        <f>$A503&amp;"-"&amp;$C503&amp;"-"&amp;TEXT(COUNTIFS($A$2:$A503,$A503,$C$2:$C503,$C503),"000")</f>
        <v>F2-CSIS-043</v>
      </c>
      <c r="E503" s="7" t="s">
        <v>548</v>
      </c>
      <c r="F503" s="7" t="s">
        <v>519</v>
      </c>
      <c r="G503" s="7" t="s">
        <v>4</v>
      </c>
    </row>
    <row r="504" spans="1:7">
      <c r="A504" s="7" t="s">
        <v>503</v>
      </c>
      <c r="B504" s="7" t="s">
        <v>27</v>
      </c>
      <c r="C504" s="7" t="str">
        <f>VLOOKUP(B504,Indice!$B$1:$C$22,2,0)</f>
        <v>CSIS</v>
      </c>
      <c r="D504" s="7" t="str">
        <f>$A504&amp;"-"&amp;$C504&amp;"-"&amp;TEXT(COUNTIFS($A$2:$A504,$A504,$C$2:$C504,$C504),"000")</f>
        <v>F2-CSIS-044</v>
      </c>
      <c r="E504" s="7" t="s">
        <v>549</v>
      </c>
      <c r="F504" s="7" t="s">
        <v>519</v>
      </c>
      <c r="G504" s="7" t="s">
        <v>4</v>
      </c>
    </row>
    <row r="505" spans="1:7">
      <c r="A505" s="7" t="s">
        <v>503</v>
      </c>
      <c r="B505" s="7" t="s">
        <v>27</v>
      </c>
      <c r="C505" s="7" t="str">
        <f>VLOOKUP(B505,Indice!$B$1:$C$22,2,0)</f>
        <v>CSIS</v>
      </c>
      <c r="D505" s="7" t="str">
        <f>$A505&amp;"-"&amp;$C505&amp;"-"&amp;TEXT(COUNTIFS($A$2:$A505,$A505,$C$2:$C505,$C505),"000")</f>
        <v>F2-CSIS-045</v>
      </c>
      <c r="E505" s="7" t="s">
        <v>550</v>
      </c>
      <c r="F505" s="7" t="s">
        <v>519</v>
      </c>
      <c r="G505" s="7" t="s">
        <v>4</v>
      </c>
    </row>
    <row r="506" spans="1:7">
      <c r="A506" s="7" t="s">
        <v>503</v>
      </c>
      <c r="B506" s="7" t="s">
        <v>27</v>
      </c>
      <c r="C506" s="7" t="str">
        <f>VLOOKUP(B506,Indice!$B$1:$C$22,2,0)</f>
        <v>CSIS</v>
      </c>
      <c r="D506" s="7" t="str">
        <f>$A506&amp;"-"&amp;$C506&amp;"-"&amp;TEXT(COUNTIFS($A$2:$A506,$A506,$C$2:$C506,$C506),"000")</f>
        <v>F2-CSIS-046</v>
      </c>
      <c r="E506" s="7" t="s">
        <v>551</v>
      </c>
      <c r="F506" s="7" t="s">
        <v>519</v>
      </c>
      <c r="G506" s="7" t="s">
        <v>4</v>
      </c>
    </row>
    <row r="507" spans="1:7">
      <c r="A507" s="7" t="s">
        <v>503</v>
      </c>
      <c r="B507" s="7" t="s">
        <v>27</v>
      </c>
      <c r="C507" s="7" t="str">
        <f>VLOOKUP(B507,Indice!$B$1:$C$22,2,0)</f>
        <v>CSIS</v>
      </c>
      <c r="D507" s="7" t="str">
        <f>$A507&amp;"-"&amp;$C507&amp;"-"&amp;TEXT(COUNTIFS($A$2:$A507,$A507,$C$2:$C507,$C507),"000")</f>
        <v>F2-CSIS-047</v>
      </c>
      <c r="E507" s="7" t="s">
        <v>552</v>
      </c>
      <c r="F507" s="7" t="s">
        <v>519</v>
      </c>
      <c r="G507" s="7" t="s">
        <v>4</v>
      </c>
    </row>
    <row r="508" spans="1:7">
      <c r="A508" s="7" t="s">
        <v>503</v>
      </c>
      <c r="B508" s="7" t="s">
        <v>27</v>
      </c>
      <c r="C508" s="7" t="str">
        <f>VLOOKUP(B508,Indice!$B$1:$C$22,2,0)</f>
        <v>CSIS</v>
      </c>
      <c r="D508" s="7" t="str">
        <f>$A508&amp;"-"&amp;$C508&amp;"-"&amp;TEXT(COUNTIFS($A$2:$A508,$A508,$C$2:$C508,$C508),"000")</f>
        <v>F2-CSIS-048</v>
      </c>
      <c r="E508" s="7" t="s">
        <v>553</v>
      </c>
      <c r="F508" s="7" t="s">
        <v>519</v>
      </c>
      <c r="G508" s="7" t="s">
        <v>4</v>
      </c>
    </row>
    <row r="509" spans="1:7">
      <c r="A509" s="7" t="s">
        <v>503</v>
      </c>
      <c r="B509" s="7" t="s">
        <v>27</v>
      </c>
      <c r="C509" s="7" t="str">
        <f>VLOOKUP(B509,Indice!$B$1:$C$22,2,0)</f>
        <v>CSIS</v>
      </c>
      <c r="D509" s="7" t="str">
        <f>$A509&amp;"-"&amp;$C509&amp;"-"&amp;TEXT(COUNTIFS($A$2:$A509,$A509,$C$2:$C509,$C509),"000")</f>
        <v>F2-CSIS-049</v>
      </c>
      <c r="E509" s="7" t="s">
        <v>554</v>
      </c>
      <c r="F509" s="7" t="s">
        <v>519</v>
      </c>
      <c r="G509" s="7" t="s">
        <v>4</v>
      </c>
    </row>
    <row r="510" spans="1:7">
      <c r="A510" s="7" t="s">
        <v>503</v>
      </c>
      <c r="B510" s="7" t="s">
        <v>27</v>
      </c>
      <c r="C510" s="7" t="str">
        <f>VLOOKUP(B510,Indice!$B$1:$C$22,2,0)</f>
        <v>CSIS</v>
      </c>
      <c r="D510" s="7" t="str">
        <f>$A510&amp;"-"&amp;$C510&amp;"-"&amp;TEXT(COUNTIFS($A$2:$A510,$A510,$C$2:$C510,$C510),"000")</f>
        <v>F2-CSIS-050</v>
      </c>
      <c r="E510" s="7" t="s">
        <v>555</v>
      </c>
      <c r="F510" s="7" t="s">
        <v>519</v>
      </c>
      <c r="G510" s="7" t="s">
        <v>4</v>
      </c>
    </row>
    <row r="511" spans="1:7">
      <c r="A511" s="7" t="s">
        <v>503</v>
      </c>
      <c r="B511" s="7" t="s">
        <v>27</v>
      </c>
      <c r="C511" s="7" t="str">
        <f>VLOOKUP(B511,Indice!$B$1:$C$22,2,0)</f>
        <v>CSIS</v>
      </c>
      <c r="D511" s="7" t="str">
        <f>$A511&amp;"-"&amp;$C511&amp;"-"&amp;TEXT(COUNTIFS($A$2:$A511,$A511,$C$2:$C511,$C511),"000")</f>
        <v>F2-CSIS-051</v>
      </c>
      <c r="E511" s="7" t="s">
        <v>556</v>
      </c>
      <c r="F511" s="7" t="s">
        <v>519</v>
      </c>
      <c r="G511" s="7" t="s">
        <v>4</v>
      </c>
    </row>
    <row r="512" spans="1:7">
      <c r="A512" s="7" t="s">
        <v>503</v>
      </c>
      <c r="B512" s="7" t="s">
        <v>27</v>
      </c>
      <c r="C512" s="7" t="str">
        <f>VLOOKUP(B512,Indice!$B$1:$C$22,2,0)</f>
        <v>CSIS</v>
      </c>
      <c r="D512" s="7" t="str">
        <f>$A512&amp;"-"&amp;$C512&amp;"-"&amp;TEXT(COUNTIFS($A$2:$A512,$A512,$C$2:$C512,$C512),"000")</f>
        <v>F2-CSIS-052</v>
      </c>
      <c r="E512" s="7" t="s">
        <v>557</v>
      </c>
      <c r="F512" s="7" t="s">
        <v>519</v>
      </c>
      <c r="G512" s="7" t="s">
        <v>4</v>
      </c>
    </row>
    <row r="513" spans="1:7">
      <c r="A513" s="7" t="s">
        <v>503</v>
      </c>
      <c r="B513" s="7" t="s">
        <v>27</v>
      </c>
      <c r="C513" s="7" t="str">
        <f>VLOOKUP(B513,Indice!$B$1:$C$22,2,0)</f>
        <v>CSIS</v>
      </c>
      <c r="D513" s="7" t="str">
        <f>$A513&amp;"-"&amp;$C513&amp;"-"&amp;TEXT(COUNTIFS($A$2:$A513,$A513,$C$2:$C513,$C513),"000")</f>
        <v>F2-CSIS-053</v>
      </c>
      <c r="E513" s="7" t="s">
        <v>558</v>
      </c>
      <c r="F513" s="7" t="s">
        <v>519</v>
      </c>
      <c r="G513" s="7" t="s">
        <v>4</v>
      </c>
    </row>
    <row r="514" spans="1:7">
      <c r="A514" s="7" t="s">
        <v>503</v>
      </c>
      <c r="B514" s="7" t="s">
        <v>27</v>
      </c>
      <c r="C514" s="7" t="str">
        <f>VLOOKUP(B514,Indice!$B$1:$C$22,2,0)</f>
        <v>CSIS</v>
      </c>
      <c r="D514" s="7" t="str">
        <f>$A514&amp;"-"&amp;$C514&amp;"-"&amp;TEXT(COUNTIFS($A$2:$A514,$A514,$C$2:$C514,$C514),"000")</f>
        <v>F2-CSIS-054</v>
      </c>
      <c r="E514" s="7" t="s">
        <v>559</v>
      </c>
      <c r="F514" s="7" t="s">
        <v>519</v>
      </c>
      <c r="G514" s="7" t="s">
        <v>4</v>
      </c>
    </row>
    <row r="515" spans="1:7">
      <c r="A515" s="7" t="s">
        <v>503</v>
      </c>
      <c r="B515" s="7" t="s">
        <v>27</v>
      </c>
      <c r="C515" s="7" t="str">
        <f>VLOOKUP(B515,Indice!$B$1:$C$22,2,0)</f>
        <v>CSIS</v>
      </c>
      <c r="D515" s="7" t="str">
        <f>$A515&amp;"-"&amp;$C515&amp;"-"&amp;TEXT(COUNTIFS($A$2:$A515,$A515,$C$2:$C515,$C515),"000")</f>
        <v>F2-CSIS-055</v>
      </c>
      <c r="E515" s="7" t="s">
        <v>560</v>
      </c>
      <c r="F515" s="7" t="s">
        <v>519</v>
      </c>
      <c r="G515" s="7" t="s">
        <v>4</v>
      </c>
    </row>
    <row r="516" spans="1:7">
      <c r="A516" s="7" t="s">
        <v>503</v>
      </c>
      <c r="B516" s="7" t="s">
        <v>27</v>
      </c>
      <c r="C516" s="7" t="str">
        <f>VLOOKUP(B516,Indice!$B$1:$C$22,2,0)</f>
        <v>CSIS</v>
      </c>
      <c r="D516" s="7" t="str">
        <f>$A516&amp;"-"&amp;$C516&amp;"-"&amp;TEXT(COUNTIFS($A$2:$A516,$A516,$C$2:$C516,$C516),"000")</f>
        <v>F2-CSIS-056</v>
      </c>
      <c r="E516" s="7" t="s">
        <v>561</v>
      </c>
      <c r="F516" s="7" t="s">
        <v>519</v>
      </c>
      <c r="G516" s="7" t="s">
        <v>4</v>
      </c>
    </row>
    <row r="517" spans="1:7">
      <c r="A517" s="7" t="s">
        <v>503</v>
      </c>
      <c r="B517" s="7" t="s">
        <v>27</v>
      </c>
      <c r="C517" s="7" t="str">
        <f>VLOOKUP(B517,Indice!$B$1:$C$22,2,0)</f>
        <v>CSIS</v>
      </c>
      <c r="D517" s="7" t="str">
        <f>$A517&amp;"-"&amp;$C517&amp;"-"&amp;TEXT(COUNTIFS($A$2:$A517,$A517,$C$2:$C517,$C517),"000")</f>
        <v>F2-CSIS-057</v>
      </c>
      <c r="E517" s="7" t="s">
        <v>562</v>
      </c>
      <c r="F517" s="7" t="s">
        <v>519</v>
      </c>
      <c r="G517" s="7" t="s">
        <v>4</v>
      </c>
    </row>
    <row r="518" spans="1:7">
      <c r="A518" s="7" t="s">
        <v>503</v>
      </c>
      <c r="B518" s="7" t="s">
        <v>27</v>
      </c>
      <c r="C518" s="7" t="str">
        <f>VLOOKUP(B518,Indice!$B$1:$C$22,2,0)</f>
        <v>CSIS</v>
      </c>
      <c r="D518" s="7" t="str">
        <f>$A518&amp;"-"&amp;$C518&amp;"-"&amp;TEXT(COUNTIFS($A$2:$A518,$A518,$C$2:$C518,$C518),"000")</f>
        <v>F2-CSIS-058</v>
      </c>
      <c r="E518" s="7" t="s">
        <v>563</v>
      </c>
      <c r="F518" s="7" t="s">
        <v>519</v>
      </c>
      <c r="G518" s="7" t="s">
        <v>4</v>
      </c>
    </row>
    <row r="519" spans="1:7">
      <c r="A519" s="7" t="s">
        <v>503</v>
      </c>
      <c r="B519" s="7" t="s">
        <v>27</v>
      </c>
      <c r="C519" s="7" t="str">
        <f>VLOOKUP(B519,Indice!$B$1:$C$22,2,0)</f>
        <v>CSIS</v>
      </c>
      <c r="D519" s="7" t="str">
        <f>$A519&amp;"-"&amp;$C519&amp;"-"&amp;TEXT(COUNTIFS($A$2:$A519,$A519,$C$2:$C519,$C519),"000")</f>
        <v>F2-CSIS-059</v>
      </c>
      <c r="E519" s="7" t="s">
        <v>564</v>
      </c>
      <c r="F519" s="7" t="s">
        <v>519</v>
      </c>
      <c r="G519" s="7" t="s">
        <v>4</v>
      </c>
    </row>
    <row r="520" spans="1:7">
      <c r="A520" s="7" t="s">
        <v>503</v>
      </c>
      <c r="B520" s="7" t="s">
        <v>27</v>
      </c>
      <c r="C520" s="7" t="str">
        <f>VLOOKUP(B520,Indice!$B$1:$C$22,2,0)</f>
        <v>CSIS</v>
      </c>
      <c r="D520" s="7" t="str">
        <f>$A520&amp;"-"&amp;$C520&amp;"-"&amp;TEXT(COUNTIFS($A$2:$A520,$A520,$C$2:$C520,$C520),"000")</f>
        <v>F2-CSIS-060</v>
      </c>
      <c r="E520" s="7" t="s">
        <v>565</v>
      </c>
      <c r="F520" s="7" t="s">
        <v>505</v>
      </c>
      <c r="G520" s="7" t="s">
        <v>3</v>
      </c>
    </row>
    <row r="521" spans="1:7">
      <c r="A521" s="7" t="s">
        <v>503</v>
      </c>
      <c r="B521" s="7" t="s">
        <v>27</v>
      </c>
      <c r="C521" s="7" t="str">
        <f>VLOOKUP(B521,Indice!$B$1:$C$22,2,0)</f>
        <v>CSIS</v>
      </c>
      <c r="D521" s="7" t="str">
        <f>$A521&amp;"-"&amp;$C521&amp;"-"&amp;TEXT(COUNTIFS($A$2:$A521,$A521,$C$2:$C521,$C521),"000")</f>
        <v>F2-CSIS-061</v>
      </c>
      <c r="E521" s="7" t="s">
        <v>566</v>
      </c>
      <c r="F521" s="7" t="s">
        <v>505</v>
      </c>
      <c r="G521" s="7" t="s">
        <v>3</v>
      </c>
    </row>
    <row r="522" spans="1:7">
      <c r="A522" s="7" t="s">
        <v>503</v>
      </c>
      <c r="B522" s="7" t="s">
        <v>27</v>
      </c>
      <c r="C522" s="7" t="str">
        <f>VLOOKUP(B522,Indice!$B$1:$C$22,2,0)</f>
        <v>CSIS</v>
      </c>
      <c r="D522" s="7" t="str">
        <f>$A522&amp;"-"&amp;$C522&amp;"-"&amp;TEXT(COUNTIFS($A$2:$A522,$A522,$C$2:$C522,$C522),"000")</f>
        <v>F2-CSIS-062</v>
      </c>
      <c r="E522" s="7" t="s">
        <v>567</v>
      </c>
      <c r="F522" s="7" t="s">
        <v>519</v>
      </c>
      <c r="G522" s="7" t="s">
        <v>4</v>
      </c>
    </row>
    <row r="523" spans="1:7">
      <c r="A523" s="7" t="s">
        <v>503</v>
      </c>
      <c r="B523" s="7" t="s">
        <v>27</v>
      </c>
      <c r="C523" s="7" t="str">
        <f>VLOOKUP(B523,Indice!$B$1:$C$22,2,0)</f>
        <v>CSIS</v>
      </c>
      <c r="D523" s="7" t="str">
        <f>$A523&amp;"-"&amp;$C523&amp;"-"&amp;TEXT(COUNTIFS($A$2:$A523,$A523,$C$2:$C523,$C523),"000")</f>
        <v>F2-CSIS-063</v>
      </c>
      <c r="E523" s="7" t="s">
        <v>568</v>
      </c>
      <c r="F523" s="7" t="s">
        <v>519</v>
      </c>
      <c r="G523" s="7" t="s">
        <v>4</v>
      </c>
    </row>
    <row r="524" spans="1:7">
      <c r="A524" s="7" t="s">
        <v>503</v>
      </c>
      <c r="B524" s="7" t="s">
        <v>27</v>
      </c>
      <c r="C524" s="7" t="str">
        <f>VLOOKUP(B524,Indice!$B$1:$C$22,2,0)</f>
        <v>CSIS</v>
      </c>
      <c r="D524" s="7" t="str">
        <f>$A524&amp;"-"&amp;$C524&amp;"-"&amp;TEXT(COUNTIFS($A$2:$A524,$A524,$C$2:$C524,$C524),"000")</f>
        <v>F2-CSIS-064</v>
      </c>
      <c r="E524" s="7" t="s">
        <v>569</v>
      </c>
      <c r="F524" s="7" t="s">
        <v>519</v>
      </c>
      <c r="G524" s="7" t="s">
        <v>4</v>
      </c>
    </row>
    <row r="525" spans="1:7">
      <c r="A525" s="7" t="s">
        <v>503</v>
      </c>
      <c r="B525" s="7" t="s">
        <v>27</v>
      </c>
      <c r="C525" s="7" t="str">
        <f>VLOOKUP(B525,Indice!$B$1:$C$22,2,0)</f>
        <v>CSIS</v>
      </c>
      <c r="D525" s="7" t="str">
        <f>$A525&amp;"-"&amp;$C525&amp;"-"&amp;TEXT(COUNTIFS($A$2:$A525,$A525,$C$2:$C525,$C525),"000")</f>
        <v>F2-CSIS-065</v>
      </c>
      <c r="E525" s="7" t="s">
        <v>570</v>
      </c>
      <c r="F525" s="7" t="s">
        <v>519</v>
      </c>
      <c r="G525" s="7" t="s">
        <v>4</v>
      </c>
    </row>
    <row r="526" spans="1:7">
      <c r="A526" s="7" t="s">
        <v>503</v>
      </c>
      <c r="B526" s="7" t="s">
        <v>27</v>
      </c>
      <c r="C526" s="7" t="str">
        <f>VLOOKUP(B526,Indice!$B$1:$C$22,2,0)</f>
        <v>CSIS</v>
      </c>
      <c r="D526" s="7" t="str">
        <f>$A526&amp;"-"&amp;$C526&amp;"-"&amp;TEXT(COUNTIFS($A$2:$A526,$A526,$C$2:$C526,$C526),"000")</f>
        <v>F2-CSIS-066</v>
      </c>
      <c r="E526" s="7" t="s">
        <v>571</v>
      </c>
      <c r="F526" s="7" t="s">
        <v>519</v>
      </c>
      <c r="G526" s="7" t="s">
        <v>4</v>
      </c>
    </row>
    <row r="527" spans="1:7">
      <c r="A527" s="7" t="s">
        <v>503</v>
      </c>
      <c r="B527" s="7" t="s">
        <v>27</v>
      </c>
      <c r="C527" s="7" t="str">
        <f>VLOOKUP(B527,Indice!$B$1:$C$22,2,0)</f>
        <v>CSIS</v>
      </c>
      <c r="D527" s="7" t="str">
        <f>$A527&amp;"-"&amp;$C527&amp;"-"&amp;TEXT(COUNTIFS($A$2:$A527,$A527,$C$2:$C527,$C527),"000")</f>
        <v>F2-CSIS-067</v>
      </c>
      <c r="E527" s="7" t="s">
        <v>572</v>
      </c>
      <c r="F527" s="7" t="s">
        <v>519</v>
      </c>
      <c r="G527" s="7" t="s">
        <v>4</v>
      </c>
    </row>
    <row r="528" spans="1:7">
      <c r="A528" s="7" t="s">
        <v>503</v>
      </c>
      <c r="B528" s="7" t="s">
        <v>27</v>
      </c>
      <c r="C528" s="7" t="str">
        <f>VLOOKUP(B528,Indice!$B$1:$C$22,2,0)</f>
        <v>CSIS</v>
      </c>
      <c r="D528" s="7" t="str">
        <f>$A528&amp;"-"&amp;$C528&amp;"-"&amp;TEXT(COUNTIFS($A$2:$A528,$A528,$C$2:$C528,$C528),"000")</f>
        <v>F2-CSIS-068</v>
      </c>
      <c r="E528" s="7" t="s">
        <v>573</v>
      </c>
      <c r="F528" s="7" t="s">
        <v>519</v>
      </c>
      <c r="G528" s="7" t="s">
        <v>4</v>
      </c>
    </row>
    <row r="529" spans="1:7">
      <c r="A529" s="7" t="s">
        <v>503</v>
      </c>
      <c r="B529" s="7" t="s">
        <v>27</v>
      </c>
      <c r="C529" s="7" t="str">
        <f>VLOOKUP(B529,Indice!$B$1:$C$22,2,0)</f>
        <v>CSIS</v>
      </c>
      <c r="D529" s="7" t="str">
        <f>$A529&amp;"-"&amp;$C529&amp;"-"&amp;TEXT(COUNTIFS($A$2:$A529,$A529,$C$2:$C529,$C529),"000")</f>
        <v>F2-CSIS-069</v>
      </c>
      <c r="E529" s="7" t="s">
        <v>574</v>
      </c>
      <c r="F529" s="7" t="s">
        <v>519</v>
      </c>
      <c r="G529" s="7" t="s">
        <v>4</v>
      </c>
    </row>
    <row r="530" spans="1:7">
      <c r="A530" s="7" t="s">
        <v>503</v>
      </c>
      <c r="B530" s="7" t="s">
        <v>27</v>
      </c>
      <c r="C530" s="7" t="str">
        <f>VLOOKUP(B530,Indice!$B$1:$C$22,2,0)</f>
        <v>CSIS</v>
      </c>
      <c r="D530" s="7" t="str">
        <f>$A530&amp;"-"&amp;$C530&amp;"-"&amp;TEXT(COUNTIFS($A$2:$A530,$A530,$C$2:$C530,$C530),"000")</f>
        <v>F2-CSIS-070</v>
      </c>
      <c r="E530" s="7" t="s">
        <v>575</v>
      </c>
      <c r="F530" s="7" t="s">
        <v>519</v>
      </c>
      <c r="G530" s="7" t="s">
        <v>4</v>
      </c>
    </row>
    <row r="531" spans="1:7">
      <c r="A531" s="7" t="s">
        <v>503</v>
      </c>
      <c r="B531" s="7" t="s">
        <v>27</v>
      </c>
      <c r="C531" s="7" t="str">
        <f>VLOOKUP(B531,Indice!$B$1:$C$22,2,0)</f>
        <v>CSIS</v>
      </c>
      <c r="D531" s="7" t="str">
        <f>$A531&amp;"-"&amp;$C531&amp;"-"&amp;TEXT(COUNTIFS($A$2:$A531,$A531,$C$2:$C531,$C531),"000")</f>
        <v>F2-CSIS-071</v>
      </c>
      <c r="E531" s="7" t="s">
        <v>576</v>
      </c>
      <c r="F531" s="7" t="s">
        <v>519</v>
      </c>
      <c r="G531" s="7" t="s">
        <v>4</v>
      </c>
    </row>
    <row r="532" spans="1:7">
      <c r="A532" s="7" t="s">
        <v>503</v>
      </c>
      <c r="B532" s="7" t="s">
        <v>27</v>
      </c>
      <c r="C532" s="7" t="str">
        <f>VLOOKUP(B532,Indice!$B$1:$C$22,2,0)</f>
        <v>CSIS</v>
      </c>
      <c r="D532" s="7" t="str">
        <f>$A532&amp;"-"&amp;$C532&amp;"-"&amp;TEXT(COUNTIFS($A$2:$A532,$A532,$C$2:$C532,$C532),"000")</f>
        <v>F2-CSIS-072</v>
      </c>
      <c r="E532" s="7" t="s">
        <v>577</v>
      </c>
      <c r="F532" s="7" t="s">
        <v>519</v>
      </c>
      <c r="G532" s="7" t="s">
        <v>4</v>
      </c>
    </row>
    <row r="533" spans="1:7">
      <c r="A533" s="7" t="s">
        <v>503</v>
      </c>
      <c r="B533" s="7" t="s">
        <v>27</v>
      </c>
      <c r="C533" s="7" t="str">
        <f>VLOOKUP(B533,Indice!$B$1:$C$22,2,0)</f>
        <v>CSIS</v>
      </c>
      <c r="D533" s="7" t="str">
        <f>$A533&amp;"-"&amp;$C533&amp;"-"&amp;TEXT(COUNTIFS($A$2:$A533,$A533,$C$2:$C533,$C533),"000")</f>
        <v>F2-CSIS-073</v>
      </c>
      <c r="E533" s="7" t="s">
        <v>578</v>
      </c>
      <c r="F533" s="7" t="s">
        <v>505</v>
      </c>
      <c r="G533" s="7" t="s">
        <v>3</v>
      </c>
    </row>
    <row r="534" spans="1:7">
      <c r="A534" s="7" t="s">
        <v>503</v>
      </c>
      <c r="B534" s="7" t="s">
        <v>27</v>
      </c>
      <c r="C534" s="7" t="str">
        <f>VLOOKUP(B534,Indice!$B$1:$C$22,2,0)</f>
        <v>CSIS</v>
      </c>
      <c r="D534" s="7" t="str">
        <f>$A534&amp;"-"&amp;$C534&amp;"-"&amp;TEXT(COUNTIFS($A$2:$A534,$A534,$C$2:$C534,$C534),"000")</f>
        <v>F2-CSIS-074</v>
      </c>
      <c r="E534" s="7" t="s">
        <v>579</v>
      </c>
      <c r="F534" s="7" t="s">
        <v>519</v>
      </c>
      <c r="G534" s="7" t="s">
        <v>4</v>
      </c>
    </row>
    <row r="535" spans="1:7">
      <c r="A535" s="7" t="s">
        <v>503</v>
      </c>
      <c r="B535" s="7" t="s">
        <v>27</v>
      </c>
      <c r="C535" s="7" t="str">
        <f>VLOOKUP(B535,Indice!$B$1:$C$22,2,0)</f>
        <v>CSIS</v>
      </c>
      <c r="D535" s="7" t="str">
        <f>$A535&amp;"-"&amp;$C535&amp;"-"&amp;TEXT(COUNTIFS($A$2:$A535,$A535,$C$2:$C535,$C535),"000")</f>
        <v>F2-CSIS-075</v>
      </c>
      <c r="E535" s="7" t="s">
        <v>580</v>
      </c>
      <c r="F535" s="7" t="s">
        <v>519</v>
      </c>
      <c r="G535" s="7" t="s">
        <v>4</v>
      </c>
    </row>
    <row r="536" spans="1:7">
      <c r="A536" s="7" t="s">
        <v>503</v>
      </c>
      <c r="B536" s="7" t="s">
        <v>27</v>
      </c>
      <c r="C536" s="7" t="str">
        <f>VLOOKUP(B536,Indice!$B$1:$C$22,2,0)</f>
        <v>CSIS</v>
      </c>
      <c r="D536" s="7" t="str">
        <f>$A536&amp;"-"&amp;$C536&amp;"-"&amp;TEXT(COUNTIFS($A$2:$A536,$A536,$C$2:$C536,$C536),"000")</f>
        <v>F2-CSIS-076</v>
      </c>
      <c r="E536" s="7" t="s">
        <v>581</v>
      </c>
      <c r="F536" s="7" t="s">
        <v>519</v>
      </c>
      <c r="G536" s="7" t="s">
        <v>4</v>
      </c>
    </row>
    <row r="537" spans="1:7">
      <c r="A537" s="7" t="s">
        <v>503</v>
      </c>
      <c r="B537" s="7" t="s">
        <v>27</v>
      </c>
      <c r="C537" s="7" t="str">
        <f>VLOOKUP(B537,Indice!$B$1:$C$22,2,0)</f>
        <v>CSIS</v>
      </c>
      <c r="D537" s="7" t="str">
        <f>$A537&amp;"-"&amp;$C537&amp;"-"&amp;TEXT(COUNTIFS($A$2:$A537,$A537,$C$2:$C537,$C537),"000")</f>
        <v>F2-CSIS-077</v>
      </c>
      <c r="E537" s="7" t="s">
        <v>582</v>
      </c>
      <c r="F537" s="7" t="s">
        <v>505</v>
      </c>
      <c r="G537" s="7" t="s">
        <v>3</v>
      </c>
    </row>
    <row r="538" spans="1:7">
      <c r="A538" s="7" t="s">
        <v>503</v>
      </c>
      <c r="B538" s="7" t="s">
        <v>27</v>
      </c>
      <c r="C538" s="7" t="str">
        <f>VLOOKUP(B538,Indice!$B$1:$C$22,2,0)</f>
        <v>CSIS</v>
      </c>
      <c r="D538" s="7" t="str">
        <f>$A538&amp;"-"&amp;$C538&amp;"-"&amp;TEXT(COUNTIFS($A$2:$A538,$A538,$C$2:$C538,$C538),"000")</f>
        <v>F2-CSIS-078</v>
      </c>
      <c r="E538" s="7" t="s">
        <v>583</v>
      </c>
      <c r="F538" s="7" t="s">
        <v>519</v>
      </c>
      <c r="G538" s="7" t="s">
        <v>4</v>
      </c>
    </row>
    <row r="539" spans="1:7">
      <c r="A539" s="7" t="s">
        <v>503</v>
      </c>
      <c r="B539" s="7" t="s">
        <v>27</v>
      </c>
      <c r="C539" s="7" t="str">
        <f>VLOOKUP(B539,Indice!$B$1:$C$22,2,0)</f>
        <v>CSIS</v>
      </c>
      <c r="D539" s="7" t="str">
        <f>$A539&amp;"-"&amp;$C539&amp;"-"&amp;TEXT(COUNTIFS($A$2:$A539,$A539,$C$2:$C539,$C539),"000")</f>
        <v>F2-CSIS-079</v>
      </c>
      <c r="E539" s="7" t="s">
        <v>584</v>
      </c>
      <c r="F539" s="7" t="s">
        <v>519</v>
      </c>
      <c r="G539" s="7" t="s">
        <v>4</v>
      </c>
    </row>
    <row r="540" spans="1:7">
      <c r="A540" s="7" t="s">
        <v>503</v>
      </c>
      <c r="B540" s="7" t="s">
        <v>27</v>
      </c>
      <c r="C540" s="7" t="str">
        <f>VLOOKUP(B540,Indice!$B$1:$C$22,2,0)</f>
        <v>CSIS</v>
      </c>
      <c r="D540" s="7" t="str">
        <f>$A540&amp;"-"&amp;$C540&amp;"-"&amp;TEXT(COUNTIFS($A$2:$A540,$A540,$C$2:$C540,$C540),"000")</f>
        <v>F2-CSIS-080</v>
      </c>
      <c r="E540" s="7" t="s">
        <v>585</v>
      </c>
      <c r="F540" s="7" t="s">
        <v>519</v>
      </c>
      <c r="G540" s="7" t="s">
        <v>4</v>
      </c>
    </row>
    <row r="541" spans="1:7">
      <c r="A541" s="7" t="s">
        <v>503</v>
      </c>
      <c r="B541" s="7" t="s">
        <v>27</v>
      </c>
      <c r="C541" s="7" t="str">
        <f>VLOOKUP(B541,Indice!$B$1:$C$22,2,0)</f>
        <v>CSIS</v>
      </c>
      <c r="D541" s="7" t="str">
        <f>$A541&amp;"-"&amp;$C541&amp;"-"&amp;TEXT(COUNTIFS($A$2:$A541,$A541,$C$2:$C541,$C541),"000")</f>
        <v>F2-CSIS-081</v>
      </c>
      <c r="E541" s="7" t="s">
        <v>586</v>
      </c>
      <c r="F541" s="7" t="s">
        <v>519</v>
      </c>
      <c r="G541" s="7" t="s">
        <v>4</v>
      </c>
    </row>
    <row r="542" spans="1:7">
      <c r="A542" s="7" t="s">
        <v>503</v>
      </c>
      <c r="B542" s="7" t="s">
        <v>27</v>
      </c>
      <c r="C542" s="7" t="str">
        <f>VLOOKUP(B542,Indice!$B$1:$C$22,2,0)</f>
        <v>CSIS</v>
      </c>
      <c r="D542" s="7" t="str">
        <f>$A542&amp;"-"&amp;$C542&amp;"-"&amp;TEXT(COUNTIFS($A$2:$A542,$A542,$C$2:$C542,$C542),"000")</f>
        <v>F2-CSIS-082</v>
      </c>
      <c r="E542" s="7" t="s">
        <v>587</v>
      </c>
      <c r="F542" s="7" t="s">
        <v>519</v>
      </c>
      <c r="G542" s="7" t="s">
        <v>4</v>
      </c>
    </row>
    <row r="543" spans="1:7">
      <c r="A543" s="7" t="s">
        <v>503</v>
      </c>
      <c r="B543" s="7" t="s">
        <v>27</v>
      </c>
      <c r="C543" s="7" t="str">
        <f>VLOOKUP(B543,Indice!$B$1:$C$22,2,0)</f>
        <v>CSIS</v>
      </c>
      <c r="D543" s="7" t="str">
        <f>$A543&amp;"-"&amp;$C543&amp;"-"&amp;TEXT(COUNTIFS($A$2:$A543,$A543,$C$2:$C543,$C543),"000")</f>
        <v>F2-CSIS-083</v>
      </c>
      <c r="E543" s="7" t="s">
        <v>588</v>
      </c>
      <c r="F543" s="7" t="s">
        <v>519</v>
      </c>
      <c r="G543" s="7" t="s">
        <v>4</v>
      </c>
    </row>
    <row r="544" spans="1:7">
      <c r="A544" s="7" t="s">
        <v>503</v>
      </c>
      <c r="B544" s="7" t="s">
        <v>27</v>
      </c>
      <c r="C544" s="7" t="str">
        <f>VLOOKUP(B544,Indice!$B$1:$C$22,2,0)</f>
        <v>CSIS</v>
      </c>
      <c r="D544" s="7" t="str">
        <f>$A544&amp;"-"&amp;$C544&amp;"-"&amp;TEXT(COUNTIFS($A$2:$A544,$A544,$C$2:$C544,$C544),"000")</f>
        <v>F2-CSIS-084</v>
      </c>
      <c r="E544" s="7" t="s">
        <v>589</v>
      </c>
      <c r="F544" s="7" t="s">
        <v>519</v>
      </c>
      <c r="G544" s="7" t="s">
        <v>4</v>
      </c>
    </row>
    <row r="545" spans="1:7">
      <c r="A545" s="7" t="s">
        <v>503</v>
      </c>
      <c r="B545" s="7" t="s">
        <v>27</v>
      </c>
      <c r="C545" s="7" t="str">
        <f>VLOOKUP(B545,Indice!$B$1:$C$22,2,0)</f>
        <v>CSIS</v>
      </c>
      <c r="D545" s="7" t="str">
        <f>$A545&amp;"-"&amp;$C545&amp;"-"&amp;TEXT(COUNTIFS($A$2:$A545,$A545,$C$2:$C545,$C545),"000")</f>
        <v>F2-CSIS-085</v>
      </c>
      <c r="E545" s="7" t="s">
        <v>590</v>
      </c>
      <c r="F545" s="7" t="s">
        <v>519</v>
      </c>
      <c r="G545" s="7" t="s">
        <v>4</v>
      </c>
    </row>
    <row r="546" spans="1:7">
      <c r="A546" s="7" t="s">
        <v>503</v>
      </c>
      <c r="B546" s="7" t="s">
        <v>27</v>
      </c>
      <c r="C546" s="7" t="str">
        <f>VLOOKUP(B546,Indice!$B$1:$C$22,2,0)</f>
        <v>CSIS</v>
      </c>
      <c r="D546" s="7" t="str">
        <f>$A546&amp;"-"&amp;$C546&amp;"-"&amp;TEXT(COUNTIFS($A$2:$A546,$A546,$C$2:$C546,$C546),"000")</f>
        <v>F2-CSIS-086</v>
      </c>
      <c r="E546" s="7" t="s">
        <v>591</v>
      </c>
      <c r="F546" s="7" t="s">
        <v>505</v>
      </c>
      <c r="G546" s="7" t="s">
        <v>3</v>
      </c>
    </row>
    <row r="547" spans="1:7">
      <c r="A547" s="7" t="s">
        <v>503</v>
      </c>
      <c r="B547" s="7" t="s">
        <v>27</v>
      </c>
      <c r="C547" s="7" t="str">
        <f>VLOOKUP(B547,Indice!$B$1:$C$22,2,0)</f>
        <v>CSIS</v>
      </c>
      <c r="D547" s="7" t="str">
        <f>$A547&amp;"-"&amp;$C547&amp;"-"&amp;TEXT(COUNTIFS($A$2:$A547,$A547,$C$2:$C547,$C547),"000")</f>
        <v>F2-CSIS-087</v>
      </c>
      <c r="E547" s="7" t="s">
        <v>592</v>
      </c>
      <c r="F547" s="7" t="s">
        <v>505</v>
      </c>
      <c r="G547" s="7" t="s">
        <v>3</v>
      </c>
    </row>
    <row r="548" spans="1:7">
      <c r="A548" s="7" t="s">
        <v>503</v>
      </c>
      <c r="B548" s="7" t="s">
        <v>27</v>
      </c>
      <c r="C548" s="7" t="str">
        <f>VLOOKUP(B548,Indice!$B$1:$C$22,2,0)</f>
        <v>CSIS</v>
      </c>
      <c r="D548" s="7" t="str">
        <f>$A548&amp;"-"&amp;$C548&amp;"-"&amp;TEXT(COUNTIFS($A$2:$A548,$A548,$C$2:$C548,$C548),"000")</f>
        <v>F2-CSIS-088</v>
      </c>
      <c r="E548" s="7" t="s">
        <v>593</v>
      </c>
      <c r="F548" s="7" t="s">
        <v>519</v>
      </c>
      <c r="G548" s="7" t="s">
        <v>4</v>
      </c>
    </row>
    <row r="549" spans="1:7">
      <c r="A549" s="7" t="s">
        <v>503</v>
      </c>
      <c r="B549" s="7" t="s">
        <v>27</v>
      </c>
      <c r="C549" s="7" t="str">
        <f>VLOOKUP(B549,Indice!$B$1:$C$22,2,0)</f>
        <v>CSIS</v>
      </c>
      <c r="D549" s="7" t="str">
        <f>$A549&amp;"-"&amp;$C549&amp;"-"&amp;TEXT(COUNTIFS($A$2:$A549,$A549,$C$2:$C549,$C549),"000")</f>
        <v>F2-CSIS-089</v>
      </c>
      <c r="E549" s="7" t="s">
        <v>594</v>
      </c>
      <c r="F549" s="7" t="s">
        <v>519</v>
      </c>
      <c r="G549" s="7" t="s">
        <v>4</v>
      </c>
    </row>
    <row r="550" spans="1:7">
      <c r="A550" s="7" t="s">
        <v>503</v>
      </c>
      <c r="B550" s="7" t="s">
        <v>27</v>
      </c>
      <c r="C550" s="7" t="str">
        <f>VLOOKUP(B550,Indice!$B$1:$C$22,2,0)</f>
        <v>CSIS</v>
      </c>
      <c r="D550" s="7" t="str">
        <f>$A550&amp;"-"&amp;$C550&amp;"-"&amp;TEXT(COUNTIFS($A$2:$A550,$A550,$C$2:$C550,$C550),"000")</f>
        <v>F2-CSIS-090</v>
      </c>
      <c r="E550" s="7" t="s">
        <v>595</v>
      </c>
      <c r="F550" s="7" t="s">
        <v>519</v>
      </c>
      <c r="G550" s="7" t="s">
        <v>4</v>
      </c>
    </row>
    <row r="551" spans="1:7">
      <c r="A551" s="7" t="s">
        <v>503</v>
      </c>
      <c r="B551" s="7" t="s">
        <v>27</v>
      </c>
      <c r="C551" s="7" t="str">
        <f>VLOOKUP(B551,Indice!$B$1:$C$22,2,0)</f>
        <v>CSIS</v>
      </c>
      <c r="D551" s="7" t="str">
        <f>$A551&amp;"-"&amp;$C551&amp;"-"&amp;TEXT(COUNTIFS($A$2:$A551,$A551,$C$2:$C551,$C551),"000")</f>
        <v>F2-CSIS-091</v>
      </c>
      <c r="E551" s="7" t="s">
        <v>596</v>
      </c>
      <c r="F551" s="7" t="s">
        <v>519</v>
      </c>
      <c r="G551" s="7" t="s">
        <v>4</v>
      </c>
    </row>
    <row r="552" spans="1:7">
      <c r="A552" s="7" t="s">
        <v>503</v>
      </c>
      <c r="B552" s="7" t="s">
        <v>27</v>
      </c>
      <c r="C552" s="7" t="str">
        <f>VLOOKUP(B552,Indice!$B$1:$C$22,2,0)</f>
        <v>CSIS</v>
      </c>
      <c r="D552" s="7" t="str">
        <f>$A552&amp;"-"&amp;$C552&amp;"-"&amp;TEXT(COUNTIFS($A$2:$A552,$A552,$C$2:$C552,$C552),"000")</f>
        <v>F2-CSIS-092</v>
      </c>
      <c r="E552" s="7" t="s">
        <v>597</v>
      </c>
      <c r="F552" s="7" t="s">
        <v>519</v>
      </c>
      <c r="G552" s="7" t="s">
        <v>4</v>
      </c>
    </row>
    <row r="553" spans="1:7">
      <c r="A553" s="7" t="s">
        <v>503</v>
      </c>
      <c r="B553" s="7" t="s">
        <v>27</v>
      </c>
      <c r="C553" s="7" t="str">
        <f>VLOOKUP(B553,Indice!$B$1:$C$22,2,0)</f>
        <v>CSIS</v>
      </c>
      <c r="D553" s="7" t="str">
        <f>$A553&amp;"-"&amp;$C553&amp;"-"&amp;TEXT(COUNTIFS($A$2:$A553,$A553,$C$2:$C553,$C553),"000")</f>
        <v>F2-CSIS-093</v>
      </c>
      <c r="E553" s="7" t="s">
        <v>598</v>
      </c>
      <c r="F553" s="7" t="s">
        <v>505</v>
      </c>
      <c r="G553" s="7" t="s">
        <v>3</v>
      </c>
    </row>
    <row r="554" spans="1:7">
      <c r="A554" s="7" t="s">
        <v>503</v>
      </c>
      <c r="B554" s="7" t="s">
        <v>27</v>
      </c>
      <c r="C554" s="7" t="str">
        <f>VLOOKUP(B554,Indice!$B$1:$C$22,2,0)</f>
        <v>CSIS</v>
      </c>
      <c r="D554" s="7" t="str">
        <f>$A554&amp;"-"&amp;$C554&amp;"-"&amp;TEXT(COUNTIFS($A$2:$A554,$A554,$C$2:$C554,$C554),"000")</f>
        <v>F2-CSIS-094</v>
      </c>
      <c r="E554" s="7" t="s">
        <v>599</v>
      </c>
      <c r="F554" s="7" t="s">
        <v>519</v>
      </c>
      <c r="G554" s="7" t="s">
        <v>4</v>
      </c>
    </row>
    <row r="555" spans="1:7">
      <c r="A555" s="7" t="s">
        <v>503</v>
      </c>
      <c r="B555" s="7" t="s">
        <v>27</v>
      </c>
      <c r="C555" s="7" t="str">
        <f>VLOOKUP(B555,Indice!$B$1:$C$22,2,0)</f>
        <v>CSIS</v>
      </c>
      <c r="D555" s="7" t="str">
        <f>$A555&amp;"-"&amp;$C555&amp;"-"&amp;TEXT(COUNTIFS($A$2:$A555,$A555,$C$2:$C555,$C555),"000")</f>
        <v>F2-CSIS-095</v>
      </c>
      <c r="E555" s="7" t="s">
        <v>600</v>
      </c>
      <c r="F555" s="7" t="s">
        <v>519</v>
      </c>
      <c r="G555" s="7" t="s">
        <v>4</v>
      </c>
    </row>
    <row r="556" spans="1:7">
      <c r="A556" s="7" t="s">
        <v>503</v>
      </c>
      <c r="B556" s="7" t="s">
        <v>27</v>
      </c>
      <c r="C556" s="7" t="str">
        <f>VLOOKUP(B556,Indice!$B$1:$C$22,2,0)</f>
        <v>CSIS</v>
      </c>
      <c r="D556" s="7" t="str">
        <f>$A556&amp;"-"&amp;$C556&amp;"-"&amp;TEXT(COUNTIFS($A$2:$A556,$A556,$C$2:$C556,$C556),"000")</f>
        <v>F2-CSIS-096</v>
      </c>
      <c r="E556" s="7" t="s">
        <v>601</v>
      </c>
      <c r="F556" s="7" t="s">
        <v>519</v>
      </c>
      <c r="G556" s="7" t="s">
        <v>4</v>
      </c>
    </row>
    <row r="557" spans="1:7">
      <c r="A557" s="7" t="s">
        <v>503</v>
      </c>
      <c r="B557" s="7" t="s">
        <v>27</v>
      </c>
      <c r="C557" s="7" t="str">
        <f>VLOOKUP(B557,Indice!$B$1:$C$22,2,0)</f>
        <v>CSIS</v>
      </c>
      <c r="D557" s="7" t="str">
        <f>$A557&amp;"-"&amp;$C557&amp;"-"&amp;TEXT(COUNTIFS($A$2:$A557,$A557,$C$2:$C557,$C557),"000")</f>
        <v>F2-CSIS-097</v>
      </c>
      <c r="E557" s="7" t="s">
        <v>602</v>
      </c>
      <c r="F557" s="7" t="s">
        <v>519</v>
      </c>
      <c r="G557" s="7" t="s">
        <v>4</v>
      </c>
    </row>
    <row r="558" spans="1:7">
      <c r="A558" s="7" t="s">
        <v>503</v>
      </c>
      <c r="B558" s="7" t="s">
        <v>27</v>
      </c>
      <c r="C558" s="7" t="str">
        <f>VLOOKUP(B558,Indice!$B$1:$C$22,2,0)</f>
        <v>CSIS</v>
      </c>
      <c r="D558" s="7" t="str">
        <f>$A558&amp;"-"&amp;$C558&amp;"-"&amp;TEXT(COUNTIFS($A$2:$A558,$A558,$C$2:$C558,$C558),"000")</f>
        <v>F2-CSIS-098</v>
      </c>
      <c r="E558" s="7" t="s">
        <v>603</v>
      </c>
      <c r="F558" s="7" t="s">
        <v>519</v>
      </c>
      <c r="G558" s="7" t="s">
        <v>4</v>
      </c>
    </row>
    <row r="559" spans="1:7">
      <c r="A559" s="7" t="s">
        <v>503</v>
      </c>
      <c r="B559" s="7" t="s">
        <v>27</v>
      </c>
      <c r="C559" s="7" t="str">
        <f>VLOOKUP(B559,Indice!$B$1:$C$22,2,0)</f>
        <v>CSIS</v>
      </c>
      <c r="D559" s="7" t="str">
        <f>$A559&amp;"-"&amp;$C559&amp;"-"&amp;TEXT(COUNTIFS($A$2:$A559,$A559,$C$2:$C559,$C559),"000")</f>
        <v>F2-CSIS-099</v>
      </c>
      <c r="E559" s="7" t="s">
        <v>604</v>
      </c>
      <c r="F559" s="7" t="s">
        <v>519</v>
      </c>
      <c r="G559" s="7" t="s">
        <v>4</v>
      </c>
    </row>
    <row r="560" spans="1:7">
      <c r="A560" s="7" t="s">
        <v>503</v>
      </c>
      <c r="B560" s="7" t="s">
        <v>27</v>
      </c>
      <c r="C560" s="7" t="str">
        <f>VLOOKUP(B560,Indice!$B$1:$C$22,2,0)</f>
        <v>CSIS</v>
      </c>
      <c r="D560" s="7" t="str">
        <f>$A560&amp;"-"&amp;$C560&amp;"-"&amp;TEXT(COUNTIFS($A$2:$A560,$A560,$C$2:$C560,$C560),"000")</f>
        <v>F2-CSIS-100</v>
      </c>
      <c r="E560" s="7" t="s">
        <v>605</v>
      </c>
      <c r="F560" s="7" t="s">
        <v>519</v>
      </c>
      <c r="G560" s="7" t="s">
        <v>4</v>
      </c>
    </row>
    <row r="561" spans="1:7">
      <c r="A561" s="7" t="s">
        <v>503</v>
      </c>
      <c r="B561" s="7" t="s">
        <v>27</v>
      </c>
      <c r="C561" s="7" t="str">
        <f>VLOOKUP(B561,Indice!$B$1:$C$22,2,0)</f>
        <v>CSIS</v>
      </c>
      <c r="D561" s="7" t="str">
        <f>$A561&amp;"-"&amp;$C561&amp;"-"&amp;TEXT(COUNTIFS($A$2:$A561,$A561,$C$2:$C561,$C561),"000")</f>
        <v>F2-CSIS-101</v>
      </c>
      <c r="E561" s="7" t="s">
        <v>606</v>
      </c>
      <c r="F561" s="7" t="s">
        <v>519</v>
      </c>
      <c r="G561" s="7" t="s">
        <v>4</v>
      </c>
    </row>
    <row r="562" spans="1:7">
      <c r="A562" s="7" t="s">
        <v>503</v>
      </c>
      <c r="B562" s="7" t="s">
        <v>27</v>
      </c>
      <c r="C562" s="7" t="str">
        <f>VLOOKUP(B562,Indice!$B$1:$C$22,2,0)</f>
        <v>CSIS</v>
      </c>
      <c r="D562" s="7" t="str">
        <f>$A562&amp;"-"&amp;$C562&amp;"-"&amp;TEXT(COUNTIFS($A$2:$A562,$A562,$C$2:$C562,$C562),"000")</f>
        <v>F2-CSIS-102</v>
      </c>
      <c r="E562" s="7" t="s">
        <v>607</v>
      </c>
      <c r="F562" s="7" t="s">
        <v>519</v>
      </c>
      <c r="G562" s="7" t="s">
        <v>4</v>
      </c>
    </row>
    <row r="563" spans="1:7">
      <c r="A563" s="7" t="s">
        <v>503</v>
      </c>
      <c r="B563" s="7" t="s">
        <v>27</v>
      </c>
      <c r="C563" s="7" t="str">
        <f>VLOOKUP(B563,Indice!$B$1:$C$22,2,0)</f>
        <v>CSIS</v>
      </c>
      <c r="D563" s="7" t="str">
        <f>$A563&amp;"-"&amp;$C563&amp;"-"&amp;TEXT(COUNTIFS($A$2:$A563,$A563,$C$2:$C563,$C563),"000")</f>
        <v>F2-CSIS-103</v>
      </c>
      <c r="E563" s="7" t="s">
        <v>608</v>
      </c>
      <c r="F563" s="7" t="s">
        <v>519</v>
      </c>
      <c r="G563" s="7" t="s">
        <v>4</v>
      </c>
    </row>
    <row r="564" spans="1:7">
      <c r="A564" s="7" t="s">
        <v>503</v>
      </c>
      <c r="B564" s="7" t="s">
        <v>27</v>
      </c>
      <c r="C564" s="7" t="str">
        <f>VLOOKUP(B564,Indice!$B$1:$C$22,2,0)</f>
        <v>CSIS</v>
      </c>
      <c r="D564" s="7" t="str">
        <f>$A564&amp;"-"&amp;$C564&amp;"-"&amp;TEXT(COUNTIFS($A$2:$A564,$A564,$C$2:$C564,$C564),"000")</f>
        <v>F2-CSIS-104</v>
      </c>
      <c r="E564" s="7" t="s">
        <v>609</v>
      </c>
      <c r="F564" s="7" t="s">
        <v>519</v>
      </c>
      <c r="G564" s="7" t="s">
        <v>4</v>
      </c>
    </row>
    <row r="565" spans="1:7">
      <c r="A565" s="7" t="s">
        <v>503</v>
      </c>
      <c r="B565" s="7" t="s">
        <v>27</v>
      </c>
      <c r="C565" s="7" t="str">
        <f>VLOOKUP(B565,Indice!$B$1:$C$22,2,0)</f>
        <v>CSIS</v>
      </c>
      <c r="D565" s="7" t="str">
        <f>$A565&amp;"-"&amp;$C565&amp;"-"&amp;TEXT(COUNTIFS($A$2:$A565,$A565,$C$2:$C565,$C565),"000")</f>
        <v>F2-CSIS-105</v>
      </c>
      <c r="E565" s="7" t="s">
        <v>610</v>
      </c>
      <c r="F565" s="7" t="s">
        <v>519</v>
      </c>
      <c r="G565" s="7" t="s">
        <v>4</v>
      </c>
    </row>
    <row r="566" spans="1:7">
      <c r="A566" s="7" t="s">
        <v>503</v>
      </c>
      <c r="B566" s="7" t="s">
        <v>27</v>
      </c>
      <c r="C566" s="7" t="str">
        <f>VLOOKUP(B566,Indice!$B$1:$C$22,2,0)</f>
        <v>CSIS</v>
      </c>
      <c r="D566" s="7" t="str">
        <f>$A566&amp;"-"&amp;$C566&amp;"-"&amp;TEXT(COUNTIFS($A$2:$A566,$A566,$C$2:$C566,$C566),"000")</f>
        <v>F2-CSIS-106</v>
      </c>
      <c r="E566" s="7" t="s">
        <v>611</v>
      </c>
      <c r="F566" s="7" t="s">
        <v>519</v>
      </c>
      <c r="G566" s="7" t="s">
        <v>4</v>
      </c>
    </row>
    <row r="567" spans="1:7">
      <c r="A567" s="7" t="s">
        <v>503</v>
      </c>
      <c r="B567" s="7" t="s">
        <v>27</v>
      </c>
      <c r="C567" s="7" t="str">
        <f>VLOOKUP(B567,Indice!$B$1:$C$22,2,0)</f>
        <v>CSIS</v>
      </c>
      <c r="D567" s="7" t="str">
        <f>$A567&amp;"-"&amp;$C567&amp;"-"&amp;TEXT(COUNTIFS($A$2:$A567,$A567,$C$2:$C567,$C567),"000")</f>
        <v>F2-CSIS-107</v>
      </c>
      <c r="E567" s="7" t="s">
        <v>612</v>
      </c>
      <c r="F567" s="7" t="s">
        <v>519</v>
      </c>
      <c r="G567" s="7" t="s">
        <v>4</v>
      </c>
    </row>
    <row r="568" spans="1:7">
      <c r="A568" s="7" t="s">
        <v>503</v>
      </c>
      <c r="B568" s="7" t="s">
        <v>27</v>
      </c>
      <c r="C568" s="7" t="str">
        <f>VLOOKUP(B568,Indice!$B$1:$C$22,2,0)</f>
        <v>CSIS</v>
      </c>
      <c r="D568" s="7" t="str">
        <f>$A568&amp;"-"&amp;$C568&amp;"-"&amp;TEXT(COUNTIFS($A$2:$A568,$A568,$C$2:$C568,$C568),"000")</f>
        <v>F2-CSIS-108</v>
      </c>
      <c r="E568" s="7" t="s">
        <v>613</v>
      </c>
      <c r="F568" s="7" t="s">
        <v>519</v>
      </c>
      <c r="G568" s="7" t="s">
        <v>4</v>
      </c>
    </row>
    <row r="569" spans="1:7">
      <c r="A569" s="7" t="s">
        <v>503</v>
      </c>
      <c r="B569" s="7" t="s">
        <v>27</v>
      </c>
      <c r="C569" s="7" t="str">
        <f>VLOOKUP(B569,Indice!$B$1:$C$22,2,0)</f>
        <v>CSIS</v>
      </c>
      <c r="D569" s="7" t="str">
        <f>$A569&amp;"-"&amp;$C569&amp;"-"&amp;TEXT(COUNTIFS($A$2:$A569,$A569,$C$2:$C569,$C569),"000")</f>
        <v>F2-CSIS-109</v>
      </c>
      <c r="E569" s="7" t="s">
        <v>614</v>
      </c>
      <c r="F569" s="7" t="s">
        <v>519</v>
      </c>
      <c r="G569" s="7" t="s">
        <v>4</v>
      </c>
    </row>
    <row r="570" spans="1:7">
      <c r="A570" s="7" t="s">
        <v>503</v>
      </c>
      <c r="B570" s="7" t="s">
        <v>27</v>
      </c>
      <c r="C570" s="7" t="str">
        <f>VLOOKUP(B570,Indice!$B$1:$C$22,2,0)</f>
        <v>CSIS</v>
      </c>
      <c r="D570" s="7" t="str">
        <f>$A570&amp;"-"&amp;$C570&amp;"-"&amp;TEXT(COUNTIFS($A$2:$A570,$A570,$C$2:$C570,$C570),"000")</f>
        <v>F2-CSIS-110</v>
      </c>
      <c r="E570" s="7" t="s">
        <v>615</v>
      </c>
      <c r="F570" s="7" t="s">
        <v>519</v>
      </c>
      <c r="G570" s="7" t="s">
        <v>4</v>
      </c>
    </row>
    <row r="571" spans="1:7">
      <c r="A571" s="7" t="s">
        <v>503</v>
      </c>
      <c r="B571" s="7" t="s">
        <v>27</v>
      </c>
      <c r="C571" s="7" t="str">
        <f>VLOOKUP(B571,Indice!$B$1:$C$22,2,0)</f>
        <v>CSIS</v>
      </c>
      <c r="D571" s="7" t="str">
        <f>$A571&amp;"-"&amp;$C571&amp;"-"&amp;TEXT(COUNTIFS($A$2:$A571,$A571,$C$2:$C571,$C571),"000")</f>
        <v>F2-CSIS-111</v>
      </c>
      <c r="E571" s="7" t="s">
        <v>616</v>
      </c>
      <c r="F571" s="7" t="s">
        <v>519</v>
      </c>
      <c r="G571" s="7" t="s">
        <v>4</v>
      </c>
    </row>
    <row r="572" spans="1:7">
      <c r="A572" s="7" t="s">
        <v>503</v>
      </c>
      <c r="B572" s="7" t="s">
        <v>27</v>
      </c>
      <c r="C572" s="7" t="str">
        <f>VLOOKUP(B572,Indice!$B$1:$C$22,2,0)</f>
        <v>CSIS</v>
      </c>
      <c r="D572" s="7" t="str">
        <f>$A572&amp;"-"&amp;$C572&amp;"-"&amp;TEXT(COUNTIFS($A$2:$A572,$A572,$C$2:$C572,$C572),"000")</f>
        <v>F2-CSIS-112</v>
      </c>
      <c r="E572" s="7" t="s">
        <v>617</v>
      </c>
      <c r="F572" s="7" t="s">
        <v>505</v>
      </c>
      <c r="G572" s="7" t="s">
        <v>3</v>
      </c>
    </row>
    <row r="573" spans="1:7">
      <c r="A573" s="7" t="s">
        <v>503</v>
      </c>
      <c r="B573" s="7" t="s">
        <v>27</v>
      </c>
      <c r="C573" s="7" t="str">
        <f>VLOOKUP(B573,Indice!$B$1:$C$22,2,0)</f>
        <v>CSIS</v>
      </c>
      <c r="D573" s="7" t="str">
        <f>$A573&amp;"-"&amp;$C573&amp;"-"&amp;TEXT(COUNTIFS($A$2:$A573,$A573,$C$2:$C573,$C573),"000")</f>
        <v>F2-CSIS-113</v>
      </c>
      <c r="E573" s="7" t="s">
        <v>618</v>
      </c>
      <c r="F573" s="7" t="s">
        <v>505</v>
      </c>
      <c r="G573" s="7" t="s">
        <v>3</v>
      </c>
    </row>
    <row r="574" spans="1:7">
      <c r="A574" s="7" t="s">
        <v>503</v>
      </c>
      <c r="B574" s="7" t="s">
        <v>27</v>
      </c>
      <c r="C574" s="7" t="str">
        <f>VLOOKUP(B574,Indice!$B$1:$C$22,2,0)</f>
        <v>CSIS</v>
      </c>
      <c r="D574" s="7" t="str">
        <f>$A574&amp;"-"&amp;$C574&amp;"-"&amp;TEXT(COUNTIFS($A$2:$A574,$A574,$C$2:$C574,$C574),"000")</f>
        <v>F2-CSIS-114</v>
      </c>
      <c r="E574" s="7" t="s">
        <v>619</v>
      </c>
      <c r="F574" s="7" t="s">
        <v>505</v>
      </c>
      <c r="G574" s="7" t="s">
        <v>3</v>
      </c>
    </row>
    <row r="575" spans="1:7">
      <c r="A575" s="7" t="s">
        <v>503</v>
      </c>
      <c r="B575" s="7" t="s">
        <v>27</v>
      </c>
      <c r="C575" s="7" t="str">
        <f>VLOOKUP(B575,Indice!$B$1:$C$22,2,0)</f>
        <v>CSIS</v>
      </c>
      <c r="D575" s="7" t="str">
        <f>$A575&amp;"-"&amp;$C575&amp;"-"&amp;TEXT(COUNTIFS($A$2:$A575,$A575,$C$2:$C575,$C575),"000")</f>
        <v>F2-CSIS-115</v>
      </c>
      <c r="E575" s="7" t="s">
        <v>620</v>
      </c>
      <c r="F575" s="7" t="s">
        <v>519</v>
      </c>
      <c r="G575" s="7" t="s">
        <v>4</v>
      </c>
    </row>
    <row r="576" spans="1:7">
      <c r="A576" s="7" t="s">
        <v>503</v>
      </c>
      <c r="B576" s="7" t="s">
        <v>27</v>
      </c>
      <c r="C576" s="7" t="str">
        <f>VLOOKUP(B576,Indice!$B$1:$C$22,2,0)</f>
        <v>CSIS</v>
      </c>
      <c r="D576" s="7" t="str">
        <f>$A576&amp;"-"&amp;$C576&amp;"-"&amp;TEXT(COUNTIFS($A$2:$A576,$A576,$C$2:$C576,$C576),"000")</f>
        <v>F2-CSIS-116</v>
      </c>
      <c r="E576" s="7" t="s">
        <v>621</v>
      </c>
      <c r="F576" s="7" t="s">
        <v>519</v>
      </c>
      <c r="G576" s="7" t="s">
        <v>4</v>
      </c>
    </row>
    <row r="577" spans="1:7">
      <c r="A577" s="7" t="s">
        <v>503</v>
      </c>
      <c r="B577" s="7" t="s">
        <v>27</v>
      </c>
      <c r="C577" s="7" t="str">
        <f>VLOOKUP(B577,Indice!$B$1:$C$22,2,0)</f>
        <v>CSIS</v>
      </c>
      <c r="D577" s="7" t="str">
        <f>$A577&amp;"-"&amp;$C577&amp;"-"&amp;TEXT(COUNTIFS($A$2:$A577,$A577,$C$2:$C577,$C577),"000")</f>
        <v>F2-CSIS-117</v>
      </c>
      <c r="E577" s="7" t="s">
        <v>622</v>
      </c>
      <c r="F577" s="7" t="s">
        <v>519</v>
      </c>
      <c r="G577" s="7" t="s">
        <v>4</v>
      </c>
    </row>
    <row r="578" spans="1:7">
      <c r="A578" s="7" t="s">
        <v>503</v>
      </c>
      <c r="B578" s="7" t="s">
        <v>27</v>
      </c>
      <c r="C578" s="7" t="str">
        <f>VLOOKUP(B578,Indice!$B$1:$C$22,2,0)</f>
        <v>CSIS</v>
      </c>
      <c r="D578" s="7" t="str">
        <f>$A578&amp;"-"&amp;$C578&amp;"-"&amp;TEXT(COUNTIFS($A$2:$A578,$A578,$C$2:$C578,$C578),"000")</f>
        <v>F2-CSIS-118</v>
      </c>
      <c r="E578" s="7" t="s">
        <v>623</v>
      </c>
      <c r="F578" s="7" t="s">
        <v>519</v>
      </c>
      <c r="G578" s="7" t="s">
        <v>4</v>
      </c>
    </row>
    <row r="579" spans="1:7">
      <c r="A579" s="7" t="s">
        <v>503</v>
      </c>
      <c r="B579" s="7" t="s">
        <v>27</v>
      </c>
      <c r="C579" s="7" t="str">
        <f>VLOOKUP(B579,Indice!$B$1:$C$22,2,0)</f>
        <v>CSIS</v>
      </c>
      <c r="D579" s="7" t="str">
        <f>$A579&amp;"-"&amp;$C579&amp;"-"&amp;TEXT(COUNTIFS($A$2:$A579,$A579,$C$2:$C579,$C579),"000")</f>
        <v>F2-CSIS-119</v>
      </c>
      <c r="E579" s="7" t="s">
        <v>624</v>
      </c>
      <c r="F579" s="7" t="s">
        <v>519</v>
      </c>
      <c r="G579" s="7" t="s">
        <v>4</v>
      </c>
    </row>
    <row r="580" spans="1:7">
      <c r="A580" s="7" t="s">
        <v>503</v>
      </c>
      <c r="B580" s="7" t="s">
        <v>27</v>
      </c>
      <c r="C580" s="7" t="str">
        <f>VLOOKUP(B580,Indice!$B$1:$C$22,2,0)</f>
        <v>CSIS</v>
      </c>
      <c r="D580" s="7" t="str">
        <f>$A580&amp;"-"&amp;$C580&amp;"-"&amp;TEXT(COUNTIFS($A$2:$A580,$A580,$C$2:$C580,$C580),"000")</f>
        <v>F2-CSIS-120</v>
      </c>
      <c r="E580" s="7" t="s">
        <v>625</v>
      </c>
      <c r="F580" s="7" t="s">
        <v>519</v>
      </c>
      <c r="G580" s="7" t="s">
        <v>4</v>
      </c>
    </row>
    <row r="581" spans="1:7">
      <c r="A581" s="7" t="s">
        <v>503</v>
      </c>
      <c r="B581" s="7" t="s">
        <v>27</v>
      </c>
      <c r="C581" s="7" t="str">
        <f>VLOOKUP(B581,Indice!$B$1:$C$22,2,0)</f>
        <v>CSIS</v>
      </c>
      <c r="D581" s="7" t="str">
        <f>$A581&amp;"-"&amp;$C581&amp;"-"&amp;TEXT(COUNTIFS($A$2:$A581,$A581,$C$2:$C581,$C581),"000")</f>
        <v>F2-CSIS-121</v>
      </c>
      <c r="E581" s="7" t="s">
        <v>626</v>
      </c>
      <c r="F581" s="7" t="s">
        <v>519</v>
      </c>
      <c r="G581" s="7" t="s">
        <v>4</v>
      </c>
    </row>
    <row r="582" spans="1:7">
      <c r="A582" s="7" t="s">
        <v>503</v>
      </c>
      <c r="B582" s="7" t="s">
        <v>27</v>
      </c>
      <c r="C582" s="7" t="str">
        <f>VLOOKUP(B582,Indice!$B$1:$C$22,2,0)</f>
        <v>CSIS</v>
      </c>
      <c r="D582" s="7" t="str">
        <f>$A582&amp;"-"&amp;$C582&amp;"-"&amp;TEXT(COUNTIFS($A$2:$A582,$A582,$C$2:$C582,$C582),"000")</f>
        <v>F2-CSIS-122</v>
      </c>
      <c r="E582" s="7" t="s">
        <v>627</v>
      </c>
      <c r="F582" s="7" t="s">
        <v>519</v>
      </c>
      <c r="G582" s="7" t="s">
        <v>4</v>
      </c>
    </row>
    <row r="583" spans="1:7">
      <c r="A583" s="7" t="s">
        <v>503</v>
      </c>
      <c r="B583" s="7" t="s">
        <v>27</v>
      </c>
      <c r="C583" s="7" t="str">
        <f>VLOOKUP(B583,Indice!$B$1:$C$22,2,0)</f>
        <v>CSIS</v>
      </c>
      <c r="D583" s="7" t="str">
        <f>$A583&amp;"-"&amp;$C583&amp;"-"&amp;TEXT(COUNTIFS($A$2:$A583,$A583,$C$2:$C583,$C583),"000")</f>
        <v>F2-CSIS-123</v>
      </c>
      <c r="E583" s="7" t="s">
        <v>628</v>
      </c>
      <c r="F583" s="7" t="s">
        <v>519</v>
      </c>
      <c r="G583" s="7" t="s">
        <v>4</v>
      </c>
    </row>
    <row r="584" spans="1:7">
      <c r="A584" s="7" t="s">
        <v>503</v>
      </c>
      <c r="B584" s="7" t="s">
        <v>27</v>
      </c>
      <c r="C584" s="7" t="str">
        <f>VLOOKUP(B584,Indice!$B$1:$C$22,2,0)</f>
        <v>CSIS</v>
      </c>
      <c r="D584" s="7" t="str">
        <f>$A584&amp;"-"&amp;$C584&amp;"-"&amp;TEXT(COUNTIFS($A$2:$A584,$A584,$C$2:$C584,$C584),"000")</f>
        <v>F2-CSIS-124</v>
      </c>
      <c r="E584" s="7" t="s">
        <v>629</v>
      </c>
      <c r="F584" s="7" t="s">
        <v>519</v>
      </c>
      <c r="G584" s="7" t="s">
        <v>4</v>
      </c>
    </row>
    <row r="585" spans="1:7">
      <c r="A585" s="7" t="s">
        <v>503</v>
      </c>
      <c r="B585" s="7" t="s">
        <v>27</v>
      </c>
      <c r="C585" s="7" t="str">
        <f>VLOOKUP(B585,Indice!$B$1:$C$22,2,0)</f>
        <v>CSIS</v>
      </c>
      <c r="D585" s="7" t="str">
        <f>$A585&amp;"-"&amp;$C585&amp;"-"&amp;TEXT(COUNTIFS($A$2:$A585,$A585,$C$2:$C585,$C585),"000")</f>
        <v>F2-CSIS-125</v>
      </c>
      <c r="E585" s="7" t="s">
        <v>630</v>
      </c>
      <c r="F585" s="7" t="s">
        <v>505</v>
      </c>
      <c r="G585" s="7" t="s">
        <v>3</v>
      </c>
    </row>
    <row r="586" spans="1:7">
      <c r="A586" s="7" t="s">
        <v>503</v>
      </c>
      <c r="B586" s="7" t="s">
        <v>27</v>
      </c>
      <c r="C586" s="7" t="str">
        <f>VLOOKUP(B586,Indice!$B$1:$C$22,2,0)</f>
        <v>CSIS</v>
      </c>
      <c r="D586" s="7" t="str">
        <f>$A586&amp;"-"&amp;$C586&amp;"-"&amp;TEXT(COUNTIFS($A$2:$A586,$A586,$C$2:$C586,$C586),"000")</f>
        <v>F2-CSIS-126</v>
      </c>
      <c r="E586" s="7" t="s">
        <v>631</v>
      </c>
      <c r="F586" s="7" t="s">
        <v>505</v>
      </c>
      <c r="G586" s="7" t="s">
        <v>3</v>
      </c>
    </row>
    <row r="587" spans="1:7">
      <c r="A587" s="7" t="s">
        <v>503</v>
      </c>
      <c r="B587" s="7" t="s">
        <v>27</v>
      </c>
      <c r="C587" s="7" t="str">
        <f>VLOOKUP(B587,Indice!$B$1:$C$22,2,0)</f>
        <v>CSIS</v>
      </c>
      <c r="D587" s="7" t="str">
        <f>$A587&amp;"-"&amp;$C587&amp;"-"&amp;TEXT(COUNTIFS($A$2:$A587,$A587,$C$2:$C587,$C587),"000")</f>
        <v>F2-CSIS-127</v>
      </c>
      <c r="E587" s="7" t="s">
        <v>632</v>
      </c>
      <c r="F587" s="7" t="s">
        <v>505</v>
      </c>
      <c r="G587" s="7" t="s">
        <v>3</v>
      </c>
    </row>
    <row r="588" spans="1:7">
      <c r="A588" s="7" t="s">
        <v>503</v>
      </c>
      <c r="B588" s="7" t="s">
        <v>27</v>
      </c>
      <c r="C588" s="7" t="str">
        <f>VLOOKUP(B588,Indice!$B$1:$C$22,2,0)</f>
        <v>CSIS</v>
      </c>
      <c r="D588" s="7" t="str">
        <f>$A588&amp;"-"&amp;$C588&amp;"-"&amp;TEXT(COUNTIFS($A$2:$A588,$A588,$C$2:$C588,$C588),"000")</f>
        <v>F2-CSIS-128</v>
      </c>
      <c r="E588" s="7" t="s">
        <v>633</v>
      </c>
      <c r="F588" s="7" t="s">
        <v>505</v>
      </c>
      <c r="G588" s="7" t="s">
        <v>3</v>
      </c>
    </row>
    <row r="589" spans="1:7">
      <c r="A589" s="7" t="s">
        <v>503</v>
      </c>
      <c r="B589" s="7" t="s">
        <v>27</v>
      </c>
      <c r="C589" s="7" t="str">
        <f>VLOOKUP(B589,Indice!$B$1:$C$22,2,0)</f>
        <v>CSIS</v>
      </c>
      <c r="D589" s="7" t="str">
        <f>$A589&amp;"-"&amp;$C589&amp;"-"&amp;TEXT(COUNTIFS($A$2:$A589,$A589,$C$2:$C589,$C589),"000")</f>
        <v>F2-CSIS-129</v>
      </c>
      <c r="E589" s="7" t="s">
        <v>634</v>
      </c>
      <c r="F589" s="7" t="s">
        <v>505</v>
      </c>
      <c r="G589" s="7" t="s">
        <v>3</v>
      </c>
    </row>
    <row r="590" spans="1:7">
      <c r="A590" s="7" t="s">
        <v>503</v>
      </c>
      <c r="B590" s="7" t="s">
        <v>27</v>
      </c>
      <c r="C590" s="7" t="str">
        <f>VLOOKUP(B590,Indice!$B$1:$C$22,2,0)</f>
        <v>CSIS</v>
      </c>
      <c r="D590" s="7" t="str">
        <f>$A590&amp;"-"&amp;$C590&amp;"-"&amp;TEXT(COUNTIFS($A$2:$A590,$A590,$C$2:$C590,$C590),"000")</f>
        <v>F2-CSIS-130</v>
      </c>
      <c r="E590" s="7" t="s">
        <v>635</v>
      </c>
      <c r="F590" s="7" t="s">
        <v>505</v>
      </c>
      <c r="G590" s="7" t="s">
        <v>3</v>
      </c>
    </row>
    <row r="591" spans="1:7">
      <c r="A591" s="7" t="s">
        <v>503</v>
      </c>
      <c r="B591" s="7" t="s">
        <v>27</v>
      </c>
      <c r="C591" s="7" t="str">
        <f>VLOOKUP(B591,Indice!$B$1:$C$22,2,0)</f>
        <v>CSIS</v>
      </c>
      <c r="D591" s="7" t="str">
        <f>$A591&amp;"-"&amp;$C591&amp;"-"&amp;TEXT(COUNTIFS($A$2:$A591,$A591,$C$2:$C591,$C591),"000")</f>
        <v>F2-CSIS-131</v>
      </c>
      <c r="E591" s="7" t="s">
        <v>636</v>
      </c>
      <c r="F591" s="7" t="s">
        <v>505</v>
      </c>
      <c r="G591" s="7" t="s">
        <v>3</v>
      </c>
    </row>
    <row r="592" spans="1:7">
      <c r="A592" s="7" t="s">
        <v>503</v>
      </c>
      <c r="B592" s="7" t="s">
        <v>27</v>
      </c>
      <c r="C592" s="7" t="str">
        <f>VLOOKUP(B592,Indice!$B$1:$C$22,2,0)</f>
        <v>CSIS</v>
      </c>
      <c r="D592" s="7" t="str">
        <f>$A592&amp;"-"&amp;$C592&amp;"-"&amp;TEXT(COUNTIFS($A$2:$A592,$A592,$C$2:$C592,$C592),"000")</f>
        <v>F2-CSIS-132</v>
      </c>
      <c r="E592" s="7" t="s">
        <v>637</v>
      </c>
      <c r="F592" s="7" t="s">
        <v>638</v>
      </c>
      <c r="G592" s="7" t="s">
        <v>3</v>
      </c>
    </row>
    <row r="593" spans="1:7">
      <c r="A593" s="7" t="s">
        <v>503</v>
      </c>
      <c r="B593" s="7" t="s">
        <v>27</v>
      </c>
      <c r="C593" s="7" t="str">
        <f>VLOOKUP(B593,Indice!$B$1:$C$22,2,0)</f>
        <v>CSIS</v>
      </c>
      <c r="D593" s="7" t="str">
        <f>$A593&amp;"-"&amp;$C593&amp;"-"&amp;TEXT(COUNTIFS($A$2:$A593,$A593,$C$2:$C593,$C593),"000")</f>
        <v>F2-CSIS-133</v>
      </c>
      <c r="E593" s="7" t="s">
        <v>639</v>
      </c>
      <c r="F593" s="7" t="s">
        <v>638</v>
      </c>
      <c r="G593" s="7" t="s">
        <v>3</v>
      </c>
    </row>
    <row r="594" spans="1:7">
      <c r="A594" s="7" t="s">
        <v>503</v>
      </c>
      <c r="B594" s="7" t="s">
        <v>27</v>
      </c>
      <c r="C594" s="7" t="str">
        <f>VLOOKUP(B594,Indice!$B$1:$C$22,2,0)</f>
        <v>CSIS</v>
      </c>
      <c r="D594" s="7" t="str">
        <f>$A594&amp;"-"&amp;$C594&amp;"-"&amp;TEXT(COUNTIFS($A$2:$A594,$A594,$C$2:$C594,$C594),"000")</f>
        <v>F2-CSIS-134</v>
      </c>
      <c r="E594" s="7" t="s">
        <v>640</v>
      </c>
      <c r="F594" s="7" t="s">
        <v>505</v>
      </c>
      <c r="G594" s="7" t="s">
        <v>3</v>
      </c>
    </row>
    <row r="595" spans="1:7">
      <c r="A595" s="7" t="s">
        <v>503</v>
      </c>
      <c r="B595" s="7" t="s">
        <v>27</v>
      </c>
      <c r="C595" s="7" t="str">
        <f>VLOOKUP(B595,Indice!$B$1:$C$22,2,0)</f>
        <v>CSIS</v>
      </c>
      <c r="D595" s="7" t="str">
        <f>$A595&amp;"-"&amp;$C595&amp;"-"&amp;TEXT(COUNTIFS($A$2:$A595,$A595,$C$2:$C595,$C595),"000")</f>
        <v>F2-CSIS-135</v>
      </c>
      <c r="E595" s="7" t="s">
        <v>641</v>
      </c>
      <c r="F595" s="7" t="s">
        <v>505</v>
      </c>
      <c r="G595" s="7" t="s">
        <v>3</v>
      </c>
    </row>
    <row r="596" spans="1:7">
      <c r="A596" s="7" t="s">
        <v>503</v>
      </c>
      <c r="B596" s="7" t="s">
        <v>27</v>
      </c>
      <c r="C596" s="7" t="str">
        <f>VLOOKUP(B596,Indice!$B$1:$C$22,2,0)</f>
        <v>CSIS</v>
      </c>
      <c r="D596" s="7" t="str">
        <f>$A596&amp;"-"&amp;$C596&amp;"-"&amp;TEXT(COUNTIFS($A$2:$A596,$A596,$C$2:$C596,$C596),"000")</f>
        <v>F2-CSIS-136</v>
      </c>
      <c r="E596" s="7" t="s">
        <v>642</v>
      </c>
      <c r="F596" s="7" t="s">
        <v>638</v>
      </c>
      <c r="G596" s="7" t="s">
        <v>3</v>
      </c>
    </row>
    <row r="597" spans="1:7">
      <c r="A597" s="7" t="s">
        <v>503</v>
      </c>
      <c r="B597" s="7" t="s">
        <v>27</v>
      </c>
      <c r="C597" s="7" t="str">
        <f>VLOOKUP(B597,Indice!$B$1:$C$22,2,0)</f>
        <v>CSIS</v>
      </c>
      <c r="D597" s="7" t="str">
        <f>$A597&amp;"-"&amp;$C597&amp;"-"&amp;TEXT(COUNTIFS($A$2:$A597,$A597,$C$2:$C597,$C597),"000")</f>
        <v>F2-CSIS-137</v>
      </c>
      <c r="E597" s="7" t="s">
        <v>643</v>
      </c>
      <c r="F597" s="7" t="s">
        <v>505</v>
      </c>
      <c r="G597" s="7" t="s">
        <v>3</v>
      </c>
    </row>
    <row r="598" spans="1:7">
      <c r="A598" s="7" t="s">
        <v>503</v>
      </c>
      <c r="B598" s="7" t="s">
        <v>27</v>
      </c>
      <c r="C598" s="7" t="str">
        <f>VLOOKUP(B598,Indice!$B$1:$C$22,2,0)</f>
        <v>CSIS</v>
      </c>
      <c r="D598" s="7" t="str">
        <f>$A598&amp;"-"&amp;$C598&amp;"-"&amp;TEXT(COUNTIFS($A$2:$A598,$A598,$C$2:$C598,$C598),"000")</f>
        <v>F2-CSIS-138</v>
      </c>
      <c r="E598" s="7" t="s">
        <v>644</v>
      </c>
      <c r="F598" s="7" t="s">
        <v>505</v>
      </c>
      <c r="G598" s="7" t="s">
        <v>3</v>
      </c>
    </row>
    <row r="599" spans="1:7">
      <c r="A599" s="7" t="s">
        <v>503</v>
      </c>
      <c r="B599" s="7" t="s">
        <v>27</v>
      </c>
      <c r="C599" s="7" t="str">
        <f>VLOOKUP(B599,Indice!$B$1:$C$22,2,0)</f>
        <v>CSIS</v>
      </c>
      <c r="D599" s="7" t="str">
        <f>$A599&amp;"-"&amp;$C599&amp;"-"&amp;TEXT(COUNTIFS($A$2:$A599,$A599,$C$2:$C599,$C599),"000")</f>
        <v>F2-CSIS-139</v>
      </c>
      <c r="E599" s="7" t="s">
        <v>645</v>
      </c>
      <c r="F599" s="7" t="s">
        <v>505</v>
      </c>
      <c r="G599" s="7" t="s">
        <v>3</v>
      </c>
    </row>
    <row r="600" spans="1:7">
      <c r="A600" s="7" t="s">
        <v>503</v>
      </c>
      <c r="B600" s="7" t="s">
        <v>27</v>
      </c>
      <c r="C600" s="7" t="str">
        <f>VLOOKUP(B600,Indice!$B$1:$C$22,2,0)</f>
        <v>CSIS</v>
      </c>
      <c r="D600" s="7" t="str">
        <f>$A600&amp;"-"&amp;$C600&amp;"-"&amp;TEXT(COUNTIFS($A$2:$A600,$A600,$C$2:$C600,$C600),"000")</f>
        <v>F2-CSIS-140</v>
      </c>
      <c r="E600" s="7" t="s">
        <v>646</v>
      </c>
      <c r="F600" s="7" t="s">
        <v>505</v>
      </c>
      <c r="G600" s="7" t="s">
        <v>3</v>
      </c>
    </row>
    <row r="601" spans="1:7">
      <c r="A601" s="7" t="s">
        <v>503</v>
      </c>
      <c r="B601" s="7" t="s">
        <v>27</v>
      </c>
      <c r="C601" s="7" t="str">
        <f>VLOOKUP(B601,Indice!$B$1:$C$22,2,0)</f>
        <v>CSIS</v>
      </c>
      <c r="D601" s="7" t="str">
        <f>$A601&amp;"-"&amp;$C601&amp;"-"&amp;TEXT(COUNTIFS($A$2:$A601,$A601,$C$2:$C601,$C601),"000")</f>
        <v>F2-CSIS-141</v>
      </c>
      <c r="E601" s="7" t="s">
        <v>647</v>
      </c>
      <c r="F601" s="7" t="s">
        <v>505</v>
      </c>
      <c r="G601" s="7" t="s">
        <v>3</v>
      </c>
    </row>
    <row r="602" spans="1:7">
      <c r="A602" s="7" t="s">
        <v>503</v>
      </c>
      <c r="B602" s="7" t="s">
        <v>27</v>
      </c>
      <c r="C602" s="7" t="str">
        <f>VLOOKUP(B602,Indice!$B$1:$C$22,2,0)</f>
        <v>CSIS</v>
      </c>
      <c r="D602" s="7" t="str">
        <f>$A602&amp;"-"&amp;$C602&amp;"-"&amp;TEXT(COUNTIFS($A$2:$A602,$A602,$C$2:$C602,$C602),"000")</f>
        <v>F2-CSIS-142</v>
      </c>
      <c r="E602" s="7" t="s">
        <v>648</v>
      </c>
      <c r="F602" s="7" t="s">
        <v>638</v>
      </c>
      <c r="G602" s="7" t="s">
        <v>3</v>
      </c>
    </row>
    <row r="603" spans="1:7">
      <c r="A603" s="7" t="s">
        <v>503</v>
      </c>
      <c r="B603" s="7" t="s">
        <v>27</v>
      </c>
      <c r="C603" s="7" t="str">
        <f>VLOOKUP(B603,Indice!$B$1:$C$22,2,0)</f>
        <v>CSIS</v>
      </c>
      <c r="D603" s="7" t="str">
        <f>$A603&amp;"-"&amp;$C603&amp;"-"&amp;TEXT(COUNTIFS($A$2:$A603,$A603,$C$2:$C603,$C603),"000")</f>
        <v>F2-CSIS-143</v>
      </c>
      <c r="E603" s="7" t="s">
        <v>649</v>
      </c>
      <c r="F603" s="7" t="s">
        <v>505</v>
      </c>
      <c r="G603" s="7" t="s">
        <v>3</v>
      </c>
    </row>
    <row r="604" spans="1:7">
      <c r="A604" s="7" t="s">
        <v>503</v>
      </c>
      <c r="B604" s="7" t="s">
        <v>27</v>
      </c>
      <c r="C604" s="7" t="str">
        <f>VLOOKUP(B604,Indice!$B$1:$C$22,2,0)</f>
        <v>CSIS</v>
      </c>
      <c r="D604" s="7" t="str">
        <f>$A604&amp;"-"&amp;$C604&amp;"-"&amp;TEXT(COUNTIFS($A$2:$A604,$A604,$C$2:$C604,$C604),"000")</f>
        <v>F2-CSIS-144</v>
      </c>
      <c r="E604" s="7" t="s">
        <v>650</v>
      </c>
      <c r="F604" s="7" t="s">
        <v>505</v>
      </c>
      <c r="G604" s="7" t="s">
        <v>3</v>
      </c>
    </row>
    <row r="605" spans="1:7">
      <c r="A605" s="7" t="s">
        <v>503</v>
      </c>
      <c r="B605" s="7" t="s">
        <v>27</v>
      </c>
      <c r="C605" s="7" t="str">
        <f>VLOOKUP(B605,Indice!$B$1:$C$22,2,0)</f>
        <v>CSIS</v>
      </c>
      <c r="D605" s="7" t="str">
        <f>$A605&amp;"-"&amp;$C605&amp;"-"&amp;TEXT(COUNTIFS($A$2:$A605,$A605,$C$2:$C605,$C605),"000")</f>
        <v>F2-CSIS-145</v>
      </c>
      <c r="E605" s="7" t="s">
        <v>651</v>
      </c>
      <c r="F605" s="7" t="s">
        <v>505</v>
      </c>
      <c r="G605" s="7" t="s">
        <v>3</v>
      </c>
    </row>
    <row r="606" spans="1:7">
      <c r="A606" s="7" t="s">
        <v>503</v>
      </c>
      <c r="B606" s="7" t="s">
        <v>27</v>
      </c>
      <c r="C606" s="7" t="str">
        <f>VLOOKUP(B606,Indice!$B$1:$C$22,2,0)</f>
        <v>CSIS</v>
      </c>
      <c r="D606" s="7" t="str">
        <f>$A606&amp;"-"&amp;$C606&amp;"-"&amp;TEXT(COUNTIFS($A$2:$A606,$A606,$C$2:$C606,$C606),"000")</f>
        <v>F2-CSIS-146</v>
      </c>
      <c r="E606" s="7" t="s">
        <v>652</v>
      </c>
      <c r="F606" s="7" t="s">
        <v>505</v>
      </c>
      <c r="G606" s="7" t="s">
        <v>3</v>
      </c>
    </row>
    <row r="607" spans="1:7">
      <c r="A607" s="7" t="s">
        <v>503</v>
      </c>
      <c r="B607" s="7" t="s">
        <v>27</v>
      </c>
      <c r="C607" s="7" t="str">
        <f>VLOOKUP(B607,Indice!$B$1:$C$22,2,0)</f>
        <v>CSIS</v>
      </c>
      <c r="D607" s="7" t="str">
        <f>$A607&amp;"-"&amp;$C607&amp;"-"&amp;TEXT(COUNTIFS($A$2:$A607,$A607,$C$2:$C607,$C607),"000")</f>
        <v>F2-CSIS-147</v>
      </c>
      <c r="E607" s="7" t="s">
        <v>653</v>
      </c>
      <c r="F607" s="7" t="s">
        <v>505</v>
      </c>
      <c r="G607" s="7" t="s">
        <v>3</v>
      </c>
    </row>
    <row r="608" spans="1:7">
      <c r="A608" s="7" t="s">
        <v>503</v>
      </c>
      <c r="B608" s="7" t="s">
        <v>27</v>
      </c>
      <c r="C608" s="7" t="str">
        <f>VLOOKUP(B608,Indice!$B$1:$C$22,2,0)</f>
        <v>CSIS</v>
      </c>
      <c r="D608" s="7" t="str">
        <f>$A608&amp;"-"&amp;$C608&amp;"-"&amp;TEXT(COUNTIFS($A$2:$A608,$A608,$C$2:$C608,$C608),"000")</f>
        <v>F2-CSIS-148</v>
      </c>
      <c r="E608" s="7" t="s">
        <v>654</v>
      </c>
      <c r="F608" s="7" t="s">
        <v>505</v>
      </c>
      <c r="G608" s="7" t="s">
        <v>3</v>
      </c>
    </row>
    <row r="609" spans="1:7">
      <c r="A609" s="7" t="s">
        <v>503</v>
      </c>
      <c r="B609" s="7" t="s">
        <v>27</v>
      </c>
      <c r="C609" s="7" t="str">
        <f>VLOOKUP(B609,Indice!$B$1:$C$22,2,0)</f>
        <v>CSIS</v>
      </c>
      <c r="D609" s="7" t="str">
        <f>$A609&amp;"-"&amp;$C609&amp;"-"&amp;TEXT(COUNTIFS($A$2:$A609,$A609,$C$2:$C609,$C609),"000")</f>
        <v>F2-CSIS-149</v>
      </c>
      <c r="E609" s="7" t="s">
        <v>655</v>
      </c>
      <c r="F609" s="7" t="s">
        <v>505</v>
      </c>
      <c r="G609" s="7" t="s">
        <v>3</v>
      </c>
    </row>
    <row r="610" spans="1:7">
      <c r="A610" s="7" t="s">
        <v>503</v>
      </c>
      <c r="B610" s="7" t="s">
        <v>27</v>
      </c>
      <c r="C610" s="7" t="str">
        <f>VLOOKUP(B610,Indice!$B$1:$C$22,2,0)</f>
        <v>CSIS</v>
      </c>
      <c r="D610" s="7" t="str">
        <f>$A610&amp;"-"&amp;$C610&amp;"-"&amp;TEXT(COUNTIFS($A$2:$A610,$A610,$C$2:$C610,$C610),"000")</f>
        <v>F2-CSIS-150</v>
      </c>
      <c r="E610" s="7" t="s">
        <v>656</v>
      </c>
      <c r="F610" s="7" t="s">
        <v>505</v>
      </c>
      <c r="G610" s="7" t="s">
        <v>3</v>
      </c>
    </row>
    <row r="611" spans="1:7">
      <c r="A611" s="7" t="s">
        <v>503</v>
      </c>
      <c r="B611" s="7" t="s">
        <v>27</v>
      </c>
      <c r="C611" s="7" t="str">
        <f>VLOOKUP(B611,Indice!$B$1:$C$22,2,0)</f>
        <v>CSIS</v>
      </c>
      <c r="D611" s="7" t="str">
        <f>$A611&amp;"-"&amp;$C611&amp;"-"&amp;TEXT(COUNTIFS($A$2:$A611,$A611,$C$2:$C611,$C611),"000")</f>
        <v>F2-CSIS-151</v>
      </c>
      <c r="E611" s="7" t="s">
        <v>657</v>
      </c>
      <c r="F611" s="7" t="s">
        <v>505</v>
      </c>
      <c r="G611" s="7" t="s">
        <v>3</v>
      </c>
    </row>
    <row r="612" spans="1:7">
      <c r="A612" s="7" t="s">
        <v>503</v>
      </c>
      <c r="B612" s="7" t="s">
        <v>27</v>
      </c>
      <c r="C612" s="7" t="str">
        <f>VLOOKUP(B612,Indice!$B$1:$C$22,2,0)</f>
        <v>CSIS</v>
      </c>
      <c r="D612" s="7" t="str">
        <f>$A612&amp;"-"&amp;$C612&amp;"-"&amp;TEXT(COUNTIFS($A$2:$A612,$A612,$C$2:$C612,$C612),"000")</f>
        <v>F2-CSIS-152</v>
      </c>
      <c r="E612" s="7" t="s">
        <v>658</v>
      </c>
      <c r="F612" s="7" t="s">
        <v>505</v>
      </c>
      <c r="G612" s="7" t="s">
        <v>3</v>
      </c>
    </row>
    <row r="613" spans="1:7">
      <c r="A613" s="7" t="s">
        <v>503</v>
      </c>
      <c r="B613" s="7" t="s">
        <v>27</v>
      </c>
      <c r="C613" s="7" t="str">
        <f>VLOOKUP(B613,Indice!$B$1:$C$22,2,0)</f>
        <v>CSIS</v>
      </c>
      <c r="D613" s="7" t="str">
        <f>$A613&amp;"-"&amp;$C613&amp;"-"&amp;TEXT(COUNTIFS($A$2:$A613,$A613,$C$2:$C613,$C613),"000")</f>
        <v>F2-CSIS-153</v>
      </c>
      <c r="E613" s="7" t="s">
        <v>659</v>
      </c>
      <c r="F613" s="7" t="s">
        <v>505</v>
      </c>
      <c r="G613" s="7" t="s">
        <v>3</v>
      </c>
    </row>
    <row r="614" spans="1:7">
      <c r="A614" s="7" t="s">
        <v>503</v>
      </c>
      <c r="B614" s="7" t="s">
        <v>27</v>
      </c>
      <c r="C614" s="7" t="str">
        <f>VLOOKUP(B614,Indice!$B$1:$C$22,2,0)</f>
        <v>CSIS</v>
      </c>
      <c r="D614" s="7" t="str">
        <f>$A614&amp;"-"&amp;$C614&amp;"-"&amp;TEXT(COUNTIFS($A$2:$A614,$A614,$C$2:$C614,$C614),"000")</f>
        <v>F2-CSIS-154</v>
      </c>
      <c r="E614" s="7" t="s">
        <v>660</v>
      </c>
      <c r="F614" s="7" t="s">
        <v>505</v>
      </c>
      <c r="G614" s="7" t="s">
        <v>3</v>
      </c>
    </row>
    <row r="615" spans="1:7">
      <c r="A615" s="7" t="s">
        <v>503</v>
      </c>
      <c r="B615" s="7" t="s">
        <v>27</v>
      </c>
      <c r="C615" s="7" t="str">
        <f>VLOOKUP(B615,Indice!$B$1:$C$22,2,0)</f>
        <v>CSIS</v>
      </c>
      <c r="D615" s="7" t="str">
        <f>$A615&amp;"-"&amp;$C615&amp;"-"&amp;TEXT(COUNTIFS($A$2:$A615,$A615,$C$2:$C615,$C615),"000")</f>
        <v>F2-CSIS-155</v>
      </c>
      <c r="E615" s="7" t="s">
        <v>661</v>
      </c>
      <c r="F615" s="7" t="s">
        <v>505</v>
      </c>
      <c r="G615" s="7" t="s">
        <v>3</v>
      </c>
    </row>
    <row r="616" spans="1:7">
      <c r="A616" s="7" t="s">
        <v>503</v>
      </c>
      <c r="B616" s="7" t="s">
        <v>27</v>
      </c>
      <c r="C616" s="7" t="str">
        <f>VLOOKUP(B616,Indice!$B$1:$C$22,2,0)</f>
        <v>CSIS</v>
      </c>
      <c r="D616" s="7" t="str">
        <f>$A616&amp;"-"&amp;$C616&amp;"-"&amp;TEXT(COUNTIFS($A$2:$A616,$A616,$C$2:$C616,$C616),"000")</f>
        <v>F2-CSIS-156</v>
      </c>
      <c r="E616" s="7" t="s">
        <v>662</v>
      </c>
      <c r="F616" s="7" t="s">
        <v>505</v>
      </c>
      <c r="G616" s="7" t="s">
        <v>3</v>
      </c>
    </row>
    <row r="617" spans="1:7">
      <c r="A617" s="7" t="s">
        <v>503</v>
      </c>
      <c r="B617" s="7" t="s">
        <v>27</v>
      </c>
      <c r="C617" s="7" t="str">
        <f>VLOOKUP(B617,Indice!$B$1:$C$22,2,0)</f>
        <v>CSIS</v>
      </c>
      <c r="D617" s="7" t="str">
        <f>$A617&amp;"-"&amp;$C617&amp;"-"&amp;TEXT(COUNTIFS($A$2:$A617,$A617,$C$2:$C617,$C617),"000")</f>
        <v>F2-CSIS-157</v>
      </c>
      <c r="E617" s="7" t="s">
        <v>663</v>
      </c>
      <c r="F617" s="7" t="s">
        <v>505</v>
      </c>
      <c r="G617" s="7" t="s">
        <v>3</v>
      </c>
    </row>
    <row r="618" spans="1:7">
      <c r="A618" s="7" t="s">
        <v>503</v>
      </c>
      <c r="B618" s="7" t="s">
        <v>27</v>
      </c>
      <c r="C618" s="7" t="str">
        <f>VLOOKUP(B618,Indice!$B$1:$C$22,2,0)</f>
        <v>CSIS</v>
      </c>
      <c r="D618" s="7" t="str">
        <f>$A618&amp;"-"&amp;$C618&amp;"-"&amp;TEXT(COUNTIFS($A$2:$A618,$A618,$C$2:$C618,$C618),"000")</f>
        <v>F2-CSIS-158</v>
      </c>
      <c r="E618" s="7" t="s">
        <v>664</v>
      </c>
      <c r="F618" s="7" t="s">
        <v>505</v>
      </c>
      <c r="G618" s="7" t="s">
        <v>3</v>
      </c>
    </row>
    <row r="619" spans="1:7">
      <c r="A619" s="7" t="s">
        <v>503</v>
      </c>
      <c r="B619" s="7" t="s">
        <v>27</v>
      </c>
      <c r="C619" s="7" t="str">
        <f>VLOOKUP(B619,Indice!$B$1:$C$22,2,0)</f>
        <v>CSIS</v>
      </c>
      <c r="D619" s="7" t="str">
        <f>$A619&amp;"-"&amp;$C619&amp;"-"&amp;TEXT(COUNTIFS($A$2:$A619,$A619,$C$2:$C619,$C619),"000")</f>
        <v>F2-CSIS-159</v>
      </c>
      <c r="E619" s="7" t="s">
        <v>665</v>
      </c>
      <c r="F619" s="7" t="s">
        <v>505</v>
      </c>
      <c r="G619" s="7" t="s">
        <v>3</v>
      </c>
    </row>
    <row r="620" spans="1:7">
      <c r="A620" s="7" t="s">
        <v>503</v>
      </c>
      <c r="B620" s="7" t="s">
        <v>27</v>
      </c>
      <c r="C620" s="7" t="str">
        <f>VLOOKUP(B620,Indice!$B$1:$C$22,2,0)</f>
        <v>CSIS</v>
      </c>
      <c r="D620" s="7" t="str">
        <f>$A620&amp;"-"&amp;$C620&amp;"-"&amp;TEXT(COUNTIFS($A$2:$A620,$A620,$C$2:$C620,$C620),"000")</f>
        <v>F2-CSIS-160</v>
      </c>
      <c r="E620" s="7" t="s">
        <v>666</v>
      </c>
      <c r="F620" s="7" t="s">
        <v>667</v>
      </c>
      <c r="G620" s="7" t="s">
        <v>5</v>
      </c>
    </row>
    <row r="621" spans="1:7">
      <c r="A621" s="7" t="s">
        <v>503</v>
      </c>
      <c r="B621" s="7" t="s">
        <v>27</v>
      </c>
      <c r="C621" s="7" t="str">
        <f>VLOOKUP(B621,Indice!$B$1:$C$22,2,0)</f>
        <v>CSIS</v>
      </c>
      <c r="D621" s="7" t="str">
        <f>$A621&amp;"-"&amp;$C621&amp;"-"&amp;TEXT(COUNTIFS($A$2:$A621,$A621,$C$2:$C621,$C621),"000")</f>
        <v>F2-CSIS-161</v>
      </c>
      <c r="E621" s="7" t="s">
        <v>668</v>
      </c>
      <c r="F621" s="7" t="s">
        <v>667</v>
      </c>
      <c r="G621" s="7" t="s">
        <v>4</v>
      </c>
    </row>
    <row r="622" spans="1:7">
      <c r="A622" s="7" t="s">
        <v>503</v>
      </c>
      <c r="B622" s="7" t="s">
        <v>27</v>
      </c>
      <c r="C622" s="7" t="str">
        <f>VLOOKUP(B622,Indice!$B$1:$C$22,2,0)</f>
        <v>CSIS</v>
      </c>
      <c r="D622" s="7" t="str">
        <f>$A622&amp;"-"&amp;$C622&amp;"-"&amp;TEXT(COUNTIFS($A$2:$A622,$A622,$C$2:$C622,$C622),"000")</f>
        <v>F2-CSIS-162</v>
      </c>
      <c r="E622" s="7" t="s">
        <v>669</v>
      </c>
      <c r="F622" s="7" t="s">
        <v>505</v>
      </c>
      <c r="G622" s="7" t="s">
        <v>3</v>
      </c>
    </row>
    <row r="623" spans="1:7">
      <c r="A623" s="7" t="s">
        <v>503</v>
      </c>
      <c r="B623" s="7" t="s">
        <v>27</v>
      </c>
      <c r="C623" s="7" t="str">
        <f>VLOOKUP(B623,Indice!$B$1:$C$22,2,0)</f>
        <v>CSIS</v>
      </c>
      <c r="D623" s="7" t="str">
        <f>$A623&amp;"-"&amp;$C623&amp;"-"&amp;TEXT(COUNTIFS($A$2:$A623,$A623,$C$2:$C623,$C623),"000")</f>
        <v>F2-CSIS-163</v>
      </c>
      <c r="E623" s="7" t="s">
        <v>670</v>
      </c>
      <c r="F623" s="7" t="s">
        <v>505</v>
      </c>
      <c r="G623" s="7" t="s">
        <v>3</v>
      </c>
    </row>
    <row r="624" spans="1:7">
      <c r="A624" s="7" t="s">
        <v>503</v>
      </c>
      <c r="B624" s="7" t="s">
        <v>27</v>
      </c>
      <c r="C624" s="7" t="str">
        <f>VLOOKUP(B624,Indice!$B$1:$C$22,2,0)</f>
        <v>CSIS</v>
      </c>
      <c r="D624" s="7" t="str">
        <f>$A624&amp;"-"&amp;$C624&amp;"-"&amp;TEXT(COUNTIFS($A$2:$A624,$A624,$C$2:$C624,$C624),"000")</f>
        <v>F2-CSIS-164</v>
      </c>
      <c r="E624" s="7" t="s">
        <v>671</v>
      </c>
      <c r="F624" s="7" t="s">
        <v>505</v>
      </c>
      <c r="G624" s="7" t="s">
        <v>3</v>
      </c>
    </row>
    <row r="625" spans="1:7">
      <c r="A625" s="7" t="s">
        <v>503</v>
      </c>
      <c r="B625" s="7" t="s">
        <v>27</v>
      </c>
      <c r="C625" s="7" t="str">
        <f>VLOOKUP(B625,Indice!$B$1:$C$22,2,0)</f>
        <v>CSIS</v>
      </c>
      <c r="D625" s="7" t="str">
        <f>$A625&amp;"-"&amp;$C625&amp;"-"&amp;TEXT(COUNTIFS($A$2:$A625,$A625,$C$2:$C625,$C625),"000")</f>
        <v>F2-CSIS-165</v>
      </c>
      <c r="E625" s="7" t="s">
        <v>672</v>
      </c>
      <c r="F625" s="7" t="s">
        <v>505</v>
      </c>
      <c r="G625" s="7" t="s">
        <v>3</v>
      </c>
    </row>
    <row r="626" spans="1:7">
      <c r="A626" s="7" t="s">
        <v>503</v>
      </c>
      <c r="B626" s="7" t="s">
        <v>27</v>
      </c>
      <c r="C626" s="7" t="str">
        <f>VLOOKUP(B626,Indice!$B$1:$C$22,2,0)</f>
        <v>CSIS</v>
      </c>
      <c r="D626" s="7" t="str">
        <f>$A626&amp;"-"&amp;$C626&amp;"-"&amp;TEXT(COUNTIFS($A$2:$A626,$A626,$C$2:$C626,$C626),"000")</f>
        <v>F2-CSIS-166</v>
      </c>
      <c r="E626" s="7" t="s">
        <v>673</v>
      </c>
      <c r="F626" s="7" t="s">
        <v>505</v>
      </c>
      <c r="G626" s="7" t="s">
        <v>3</v>
      </c>
    </row>
    <row r="627" spans="1:7">
      <c r="A627" s="7" t="s">
        <v>503</v>
      </c>
      <c r="B627" s="7" t="s">
        <v>27</v>
      </c>
      <c r="C627" s="7" t="str">
        <f>VLOOKUP(B627,Indice!$B$1:$C$22,2,0)</f>
        <v>CSIS</v>
      </c>
      <c r="D627" s="7" t="str">
        <f>$A627&amp;"-"&amp;$C627&amp;"-"&amp;TEXT(COUNTIFS($A$2:$A627,$A627,$C$2:$C627,$C627),"000")</f>
        <v>F2-CSIS-167</v>
      </c>
      <c r="E627" s="7" t="s">
        <v>674</v>
      </c>
      <c r="F627" s="7" t="s">
        <v>505</v>
      </c>
      <c r="G627" s="7" t="s">
        <v>3</v>
      </c>
    </row>
    <row r="628" spans="1:7">
      <c r="A628" s="7" t="s">
        <v>503</v>
      </c>
      <c r="B628" s="7" t="s">
        <v>27</v>
      </c>
      <c r="C628" s="7" t="str">
        <f>VLOOKUP(B628,Indice!$B$1:$C$22,2,0)</f>
        <v>CSIS</v>
      </c>
      <c r="D628" s="7" t="str">
        <f>$A628&amp;"-"&amp;$C628&amp;"-"&amp;TEXT(COUNTIFS($A$2:$A628,$A628,$C$2:$C628,$C628),"000")</f>
        <v>F2-CSIS-168</v>
      </c>
      <c r="E628" s="7" t="s">
        <v>675</v>
      </c>
      <c r="F628" s="7" t="s">
        <v>505</v>
      </c>
      <c r="G628" s="7" t="s">
        <v>3</v>
      </c>
    </row>
    <row r="629" spans="1:7">
      <c r="A629" s="7" t="s">
        <v>503</v>
      </c>
      <c r="B629" s="7" t="s">
        <v>27</v>
      </c>
      <c r="C629" s="7" t="str">
        <f>VLOOKUP(B629,Indice!$B$1:$C$22,2,0)</f>
        <v>CSIS</v>
      </c>
      <c r="D629" s="7" t="str">
        <f>$A629&amp;"-"&amp;$C629&amp;"-"&amp;TEXT(COUNTIFS($A$2:$A629,$A629,$C$2:$C629,$C629),"000")</f>
        <v>F2-CSIS-169</v>
      </c>
      <c r="E629" s="7" t="s">
        <v>676</v>
      </c>
      <c r="F629" s="7" t="s">
        <v>505</v>
      </c>
      <c r="G629" s="7" t="s">
        <v>3</v>
      </c>
    </row>
    <row r="630" spans="1:7">
      <c r="A630" s="7" t="s">
        <v>503</v>
      </c>
      <c r="B630" s="7" t="s">
        <v>27</v>
      </c>
      <c r="C630" s="7" t="str">
        <f>VLOOKUP(B630,Indice!$B$1:$C$22,2,0)</f>
        <v>CSIS</v>
      </c>
      <c r="D630" s="7" t="str">
        <f>$A630&amp;"-"&amp;$C630&amp;"-"&amp;TEXT(COUNTIFS($A$2:$A630,$A630,$C$2:$C630,$C630),"000")</f>
        <v>F2-CSIS-170</v>
      </c>
      <c r="E630" s="7" t="s">
        <v>677</v>
      </c>
      <c r="F630" s="7" t="s">
        <v>505</v>
      </c>
      <c r="G630" s="7" t="s">
        <v>3</v>
      </c>
    </row>
    <row r="631" spans="1:7">
      <c r="A631" s="7" t="s">
        <v>503</v>
      </c>
      <c r="B631" s="7" t="s">
        <v>27</v>
      </c>
      <c r="C631" s="7" t="str">
        <f>VLOOKUP(B631,Indice!$B$1:$C$22,2,0)</f>
        <v>CSIS</v>
      </c>
      <c r="D631" s="7" t="str">
        <f>$A631&amp;"-"&amp;$C631&amp;"-"&amp;TEXT(COUNTIFS($A$2:$A631,$A631,$C$2:$C631,$C631),"000")</f>
        <v>F2-CSIS-171</v>
      </c>
      <c r="E631" s="7" t="s">
        <v>678</v>
      </c>
      <c r="F631" s="7" t="s">
        <v>505</v>
      </c>
      <c r="G631" s="7" t="s">
        <v>3</v>
      </c>
    </row>
    <row r="632" spans="1:7">
      <c r="A632" s="7" t="s">
        <v>503</v>
      </c>
      <c r="B632" s="7" t="s">
        <v>27</v>
      </c>
      <c r="C632" s="7" t="str">
        <f>VLOOKUP(B632,Indice!$B$1:$C$22,2,0)</f>
        <v>CSIS</v>
      </c>
      <c r="D632" s="7" t="str">
        <f>$A632&amp;"-"&amp;$C632&amp;"-"&amp;TEXT(COUNTIFS($A$2:$A632,$A632,$C$2:$C632,$C632),"000")</f>
        <v>F2-CSIS-172</v>
      </c>
      <c r="E632" s="7" t="s">
        <v>679</v>
      </c>
      <c r="F632" s="7" t="s">
        <v>505</v>
      </c>
      <c r="G632" s="7" t="s">
        <v>3</v>
      </c>
    </row>
    <row r="633" spans="1:7">
      <c r="A633" s="7" t="s">
        <v>503</v>
      </c>
      <c r="B633" s="7" t="s">
        <v>27</v>
      </c>
      <c r="C633" s="7" t="str">
        <f>VLOOKUP(B633,Indice!$B$1:$C$22,2,0)</f>
        <v>CSIS</v>
      </c>
      <c r="D633" s="7" t="str">
        <f>$A633&amp;"-"&amp;$C633&amp;"-"&amp;TEXT(COUNTIFS($A$2:$A633,$A633,$C$2:$C633,$C633),"000")</f>
        <v>F2-CSIS-173</v>
      </c>
      <c r="E633" s="7" t="s">
        <v>680</v>
      </c>
      <c r="F633" s="7" t="s">
        <v>505</v>
      </c>
      <c r="G633" s="7" t="s">
        <v>3</v>
      </c>
    </row>
    <row r="634" spans="1:7">
      <c r="A634" s="7" t="s">
        <v>503</v>
      </c>
      <c r="B634" s="7" t="s">
        <v>27</v>
      </c>
      <c r="C634" s="7" t="str">
        <f>VLOOKUP(B634,Indice!$B$1:$C$22,2,0)</f>
        <v>CSIS</v>
      </c>
      <c r="D634" s="7" t="str">
        <f>$A634&amp;"-"&amp;$C634&amp;"-"&amp;TEXT(COUNTIFS($A$2:$A634,$A634,$C$2:$C634,$C634),"000")</f>
        <v>F2-CSIS-174</v>
      </c>
      <c r="E634" s="7" t="s">
        <v>681</v>
      </c>
      <c r="F634" s="7" t="s">
        <v>505</v>
      </c>
      <c r="G634" s="7" t="s">
        <v>3</v>
      </c>
    </row>
    <row r="635" spans="1:7">
      <c r="A635" s="7" t="s">
        <v>503</v>
      </c>
      <c r="B635" s="7" t="s">
        <v>27</v>
      </c>
      <c r="C635" s="7" t="str">
        <f>VLOOKUP(B635,Indice!$B$1:$C$22,2,0)</f>
        <v>CSIS</v>
      </c>
      <c r="D635" s="7" t="str">
        <f>$A635&amp;"-"&amp;$C635&amp;"-"&amp;TEXT(COUNTIFS($A$2:$A635,$A635,$C$2:$C635,$C635),"000")</f>
        <v>F2-CSIS-175</v>
      </c>
      <c r="E635" s="7" t="s">
        <v>682</v>
      </c>
      <c r="F635" s="7" t="s">
        <v>505</v>
      </c>
      <c r="G635" s="7" t="s">
        <v>3</v>
      </c>
    </row>
    <row r="636" spans="1:7">
      <c r="A636" s="7" t="s">
        <v>503</v>
      </c>
      <c r="B636" s="7" t="s">
        <v>27</v>
      </c>
      <c r="C636" s="7" t="str">
        <f>VLOOKUP(B636,Indice!$B$1:$C$22,2,0)</f>
        <v>CSIS</v>
      </c>
      <c r="D636" s="7" t="str">
        <f>$A636&amp;"-"&amp;$C636&amp;"-"&amp;TEXT(COUNTIFS($A$2:$A636,$A636,$C$2:$C636,$C636),"000")</f>
        <v>F2-CSIS-176</v>
      </c>
      <c r="E636" s="7" t="s">
        <v>683</v>
      </c>
      <c r="F636" s="7" t="s">
        <v>505</v>
      </c>
      <c r="G636" s="7" t="s">
        <v>3</v>
      </c>
    </row>
    <row r="637" spans="1:7">
      <c r="A637" s="7" t="s">
        <v>503</v>
      </c>
      <c r="B637" s="7" t="s">
        <v>27</v>
      </c>
      <c r="C637" s="7" t="str">
        <f>VLOOKUP(B637,Indice!$B$1:$C$22,2,0)</f>
        <v>CSIS</v>
      </c>
      <c r="D637" s="7" t="str">
        <f>$A637&amp;"-"&amp;$C637&amp;"-"&amp;TEXT(COUNTIFS($A$2:$A637,$A637,$C$2:$C637,$C637),"000")</f>
        <v>F2-CSIS-177</v>
      </c>
      <c r="E637" s="7" t="s">
        <v>684</v>
      </c>
      <c r="F637" s="7" t="s">
        <v>505</v>
      </c>
      <c r="G637" s="7" t="s">
        <v>3</v>
      </c>
    </row>
    <row r="638" spans="1:7">
      <c r="A638" s="7" t="s">
        <v>503</v>
      </c>
      <c r="B638" s="7" t="s">
        <v>27</v>
      </c>
      <c r="C638" s="7" t="str">
        <f>VLOOKUP(B638,Indice!$B$1:$C$22,2,0)</f>
        <v>CSIS</v>
      </c>
      <c r="D638" s="7" t="str">
        <f>$A638&amp;"-"&amp;$C638&amp;"-"&amp;TEXT(COUNTIFS($A$2:$A638,$A638,$C$2:$C638,$C638),"000")</f>
        <v>F2-CSIS-178</v>
      </c>
      <c r="E638" s="7" t="s">
        <v>685</v>
      </c>
      <c r="F638" s="7" t="s">
        <v>638</v>
      </c>
      <c r="G638" s="7" t="s">
        <v>3</v>
      </c>
    </row>
    <row r="639" spans="1:7">
      <c r="A639" s="7" t="s">
        <v>503</v>
      </c>
      <c r="B639" s="7" t="s">
        <v>27</v>
      </c>
      <c r="C639" s="7" t="str">
        <f>VLOOKUP(B639,Indice!$B$1:$C$22,2,0)</f>
        <v>CSIS</v>
      </c>
      <c r="D639" s="7" t="str">
        <f>$A639&amp;"-"&amp;$C639&amp;"-"&amp;TEXT(COUNTIFS($A$2:$A639,$A639,$C$2:$C639,$C639),"000")</f>
        <v>F2-CSIS-179</v>
      </c>
      <c r="E639" s="7" t="s">
        <v>686</v>
      </c>
      <c r="F639" s="7" t="s">
        <v>638</v>
      </c>
      <c r="G639" s="7" t="s">
        <v>3</v>
      </c>
    </row>
    <row r="640" spans="1:7">
      <c r="A640" s="7" t="s">
        <v>503</v>
      </c>
      <c r="B640" s="7" t="s">
        <v>27</v>
      </c>
      <c r="C640" s="7" t="str">
        <f>VLOOKUP(B640,Indice!$B$1:$C$22,2,0)</f>
        <v>CSIS</v>
      </c>
      <c r="D640" s="7" t="str">
        <f>$A640&amp;"-"&amp;$C640&amp;"-"&amp;TEXT(COUNTIFS($A$2:$A640,$A640,$C$2:$C640,$C640),"000")</f>
        <v>F2-CSIS-180</v>
      </c>
      <c r="E640" s="7" t="s">
        <v>687</v>
      </c>
      <c r="F640" s="7" t="s">
        <v>638</v>
      </c>
      <c r="G640" s="7" t="s">
        <v>3</v>
      </c>
    </row>
    <row r="641" spans="1:7">
      <c r="A641" s="7" t="s">
        <v>503</v>
      </c>
      <c r="B641" s="7" t="s">
        <v>27</v>
      </c>
      <c r="C641" s="7" t="str">
        <f>VLOOKUP(B641,Indice!$B$1:$C$22,2,0)</f>
        <v>CSIS</v>
      </c>
      <c r="D641" s="7" t="str">
        <f>$A641&amp;"-"&amp;$C641&amp;"-"&amp;TEXT(COUNTIFS($A$2:$A641,$A641,$C$2:$C641,$C641),"000")</f>
        <v>F2-CSIS-181</v>
      </c>
      <c r="E641" s="7" t="s">
        <v>688</v>
      </c>
      <c r="F641" s="7" t="s">
        <v>505</v>
      </c>
      <c r="G641" s="7" t="s">
        <v>3</v>
      </c>
    </row>
    <row r="642" spans="1:7">
      <c r="A642" s="7" t="s">
        <v>503</v>
      </c>
      <c r="B642" s="7" t="s">
        <v>27</v>
      </c>
      <c r="C642" s="7" t="str">
        <f>VLOOKUP(B642,Indice!$B$1:$C$22,2,0)</f>
        <v>CSIS</v>
      </c>
      <c r="D642" s="7" t="str">
        <f>$A642&amp;"-"&amp;$C642&amp;"-"&amp;TEXT(COUNTIFS($A$2:$A642,$A642,$C$2:$C642,$C642),"000")</f>
        <v>F2-CSIS-182</v>
      </c>
      <c r="E642" s="7" t="s">
        <v>689</v>
      </c>
      <c r="F642" s="7" t="s">
        <v>505</v>
      </c>
      <c r="G642" s="7" t="s">
        <v>3</v>
      </c>
    </row>
    <row r="643" spans="1:7">
      <c r="A643" s="7" t="s">
        <v>503</v>
      </c>
      <c r="B643" s="7" t="s">
        <v>27</v>
      </c>
      <c r="C643" s="7" t="str">
        <f>VLOOKUP(B643,Indice!$B$1:$C$22,2,0)</f>
        <v>CSIS</v>
      </c>
      <c r="D643" s="7" t="str">
        <f>$A643&amp;"-"&amp;$C643&amp;"-"&amp;TEXT(COUNTIFS($A$2:$A643,$A643,$C$2:$C643,$C643),"000")</f>
        <v>F2-CSIS-183</v>
      </c>
      <c r="E643" s="7" t="s">
        <v>690</v>
      </c>
      <c r="F643" s="7" t="s">
        <v>505</v>
      </c>
      <c r="G643" s="7" t="s">
        <v>3</v>
      </c>
    </row>
    <row r="644" spans="1:7">
      <c r="A644" s="7" t="s">
        <v>503</v>
      </c>
      <c r="B644" s="7" t="s">
        <v>27</v>
      </c>
      <c r="C644" s="7" t="str">
        <f>VLOOKUP(B644,Indice!$B$1:$C$22,2,0)</f>
        <v>CSIS</v>
      </c>
      <c r="D644" s="7" t="str">
        <f>$A644&amp;"-"&amp;$C644&amp;"-"&amp;TEXT(COUNTIFS($A$2:$A644,$A644,$C$2:$C644,$C644),"000")</f>
        <v>F2-CSIS-184</v>
      </c>
      <c r="E644" s="7" t="s">
        <v>691</v>
      </c>
      <c r="F644" s="7" t="s">
        <v>505</v>
      </c>
      <c r="G644" s="7" t="s">
        <v>3</v>
      </c>
    </row>
    <row r="645" spans="1:7">
      <c r="A645" s="7" t="s">
        <v>503</v>
      </c>
      <c r="B645" s="7" t="s">
        <v>27</v>
      </c>
      <c r="C645" s="7" t="str">
        <f>VLOOKUP(B645,Indice!$B$1:$C$22,2,0)</f>
        <v>CSIS</v>
      </c>
      <c r="D645" s="7" t="str">
        <f>$A645&amp;"-"&amp;$C645&amp;"-"&amp;TEXT(COUNTIFS($A$2:$A645,$A645,$C$2:$C645,$C645),"000")</f>
        <v>F2-CSIS-185</v>
      </c>
      <c r="E645" s="7" t="s">
        <v>692</v>
      </c>
      <c r="F645" s="7" t="s">
        <v>505</v>
      </c>
      <c r="G645" s="7" t="s">
        <v>3</v>
      </c>
    </row>
    <row r="646" spans="1:7">
      <c r="A646" s="7" t="s">
        <v>503</v>
      </c>
      <c r="B646" s="7" t="s">
        <v>27</v>
      </c>
      <c r="C646" s="7" t="str">
        <f>VLOOKUP(B646,Indice!$B$1:$C$22,2,0)</f>
        <v>CSIS</v>
      </c>
      <c r="D646" s="7" t="str">
        <f>$A646&amp;"-"&amp;$C646&amp;"-"&amp;TEXT(COUNTIFS($A$2:$A646,$A646,$C$2:$C646,$C646),"000")</f>
        <v>F2-CSIS-186</v>
      </c>
      <c r="E646" s="7" t="s">
        <v>693</v>
      </c>
      <c r="F646" s="7" t="s">
        <v>505</v>
      </c>
      <c r="G646" s="7" t="s">
        <v>3</v>
      </c>
    </row>
    <row r="647" spans="1:7">
      <c r="A647" s="7" t="s">
        <v>503</v>
      </c>
      <c r="B647" s="7" t="s">
        <v>27</v>
      </c>
      <c r="C647" s="7" t="str">
        <f>VLOOKUP(B647,Indice!$B$1:$C$22,2,0)</f>
        <v>CSIS</v>
      </c>
      <c r="D647" s="7" t="str">
        <f>$A647&amp;"-"&amp;$C647&amp;"-"&amp;TEXT(COUNTIFS($A$2:$A647,$A647,$C$2:$C647,$C647),"000")</f>
        <v>F2-CSIS-187</v>
      </c>
      <c r="E647" s="7" t="s">
        <v>694</v>
      </c>
      <c r="F647" s="7" t="s">
        <v>505</v>
      </c>
      <c r="G647" s="7" t="s">
        <v>3</v>
      </c>
    </row>
    <row r="648" spans="1:7">
      <c r="A648" s="7" t="s">
        <v>503</v>
      </c>
      <c r="B648" s="7" t="s">
        <v>27</v>
      </c>
      <c r="C648" s="7" t="str">
        <f>VLOOKUP(B648,Indice!$B$1:$C$22,2,0)</f>
        <v>CSIS</v>
      </c>
      <c r="D648" s="7" t="str">
        <f>$A648&amp;"-"&amp;$C648&amp;"-"&amp;TEXT(COUNTIFS($A$2:$A648,$A648,$C$2:$C648,$C648),"000")</f>
        <v>F2-CSIS-188</v>
      </c>
      <c r="E648" s="7" t="s">
        <v>695</v>
      </c>
      <c r="F648" s="7" t="s">
        <v>505</v>
      </c>
      <c r="G648" s="7" t="s">
        <v>3</v>
      </c>
    </row>
    <row r="649" spans="1:7">
      <c r="A649" s="7" t="s">
        <v>503</v>
      </c>
      <c r="B649" s="7" t="s">
        <v>27</v>
      </c>
      <c r="C649" s="7" t="str">
        <f>VLOOKUP(B649,Indice!$B$1:$C$22,2,0)</f>
        <v>CSIS</v>
      </c>
      <c r="D649" s="7" t="str">
        <f>$A649&amp;"-"&amp;$C649&amp;"-"&amp;TEXT(COUNTIFS($A$2:$A649,$A649,$C$2:$C649,$C649),"000")</f>
        <v>F2-CSIS-189</v>
      </c>
      <c r="E649" s="7" t="s">
        <v>696</v>
      </c>
      <c r="F649" s="7" t="s">
        <v>519</v>
      </c>
      <c r="G649" s="7" t="s">
        <v>4</v>
      </c>
    </row>
    <row r="650" spans="1:7">
      <c r="A650" s="7" t="s">
        <v>503</v>
      </c>
      <c r="B650" s="7" t="s">
        <v>27</v>
      </c>
      <c r="C650" s="7" t="str">
        <f>VLOOKUP(B650,Indice!$B$1:$C$22,2,0)</f>
        <v>CSIS</v>
      </c>
      <c r="D650" s="7" t="str">
        <f>$A650&amp;"-"&amp;$C650&amp;"-"&amp;TEXT(COUNTIFS($A$2:$A650,$A650,$C$2:$C650,$C650),"000")</f>
        <v>F2-CSIS-190</v>
      </c>
      <c r="E650" s="7" t="s">
        <v>697</v>
      </c>
      <c r="F650" s="7" t="s">
        <v>505</v>
      </c>
      <c r="G650" s="7" t="s">
        <v>3</v>
      </c>
    </row>
    <row r="651" spans="1:7">
      <c r="A651" s="7" t="s">
        <v>503</v>
      </c>
      <c r="B651" s="7" t="s">
        <v>27</v>
      </c>
      <c r="C651" s="7" t="str">
        <f>VLOOKUP(B651,Indice!$B$1:$C$22,2,0)</f>
        <v>CSIS</v>
      </c>
      <c r="D651" s="7" t="str">
        <f>$A651&amp;"-"&amp;$C651&amp;"-"&amp;TEXT(COUNTIFS($A$2:$A651,$A651,$C$2:$C651,$C651),"000")</f>
        <v>F2-CSIS-191</v>
      </c>
      <c r="E651" s="7" t="s">
        <v>698</v>
      </c>
      <c r="F651" s="7" t="s">
        <v>505</v>
      </c>
      <c r="G651" s="7" t="s">
        <v>3</v>
      </c>
    </row>
    <row r="652" spans="1:7">
      <c r="A652" s="7" t="s">
        <v>503</v>
      </c>
      <c r="B652" s="7" t="s">
        <v>27</v>
      </c>
      <c r="C652" s="7" t="str">
        <f>VLOOKUP(B652,Indice!$B$1:$C$22,2,0)</f>
        <v>CSIS</v>
      </c>
      <c r="D652" s="7" t="str">
        <f>$A652&amp;"-"&amp;$C652&amp;"-"&amp;TEXT(COUNTIFS($A$2:$A652,$A652,$C$2:$C652,$C652),"000")</f>
        <v>F2-CSIS-192</v>
      </c>
      <c r="E652" s="7" t="s">
        <v>699</v>
      </c>
      <c r="F652" s="7" t="s">
        <v>505</v>
      </c>
      <c r="G652" s="7" t="s">
        <v>3</v>
      </c>
    </row>
    <row r="653" spans="1:7">
      <c r="A653" s="7" t="s">
        <v>503</v>
      </c>
      <c r="B653" s="7" t="s">
        <v>27</v>
      </c>
      <c r="C653" s="7" t="str">
        <f>VLOOKUP(B653,Indice!$B$1:$C$22,2,0)</f>
        <v>CSIS</v>
      </c>
      <c r="D653" s="7" t="str">
        <f>$A653&amp;"-"&amp;$C653&amp;"-"&amp;TEXT(COUNTIFS($A$2:$A653,$A653,$C$2:$C653,$C653),"000")</f>
        <v>F2-CSIS-193</v>
      </c>
      <c r="E653" s="7" t="s">
        <v>700</v>
      </c>
      <c r="F653" s="7" t="s">
        <v>505</v>
      </c>
      <c r="G653" s="7" t="s">
        <v>3</v>
      </c>
    </row>
    <row r="654" spans="1:7">
      <c r="A654" s="7" t="s">
        <v>503</v>
      </c>
      <c r="B654" s="7" t="s">
        <v>27</v>
      </c>
      <c r="C654" s="7" t="str">
        <f>VLOOKUP(B654,Indice!$B$1:$C$22,2,0)</f>
        <v>CSIS</v>
      </c>
      <c r="D654" s="7" t="str">
        <f>$A654&amp;"-"&amp;$C654&amp;"-"&amp;TEXT(COUNTIFS($A$2:$A654,$A654,$C$2:$C654,$C654),"000")</f>
        <v>F2-CSIS-194</v>
      </c>
      <c r="E654" s="7" t="s">
        <v>701</v>
      </c>
      <c r="F654" s="7" t="s">
        <v>505</v>
      </c>
      <c r="G654" s="7" t="s">
        <v>3</v>
      </c>
    </row>
    <row r="655" spans="1:7">
      <c r="A655" s="7" t="s">
        <v>503</v>
      </c>
      <c r="B655" s="7" t="s">
        <v>27</v>
      </c>
      <c r="C655" s="7" t="str">
        <f>VLOOKUP(B655,Indice!$B$1:$C$22,2,0)</f>
        <v>CSIS</v>
      </c>
      <c r="D655" s="7" t="str">
        <f>$A655&amp;"-"&amp;$C655&amp;"-"&amp;TEXT(COUNTIFS($A$2:$A655,$A655,$C$2:$C655,$C655),"000")</f>
        <v>F2-CSIS-195</v>
      </c>
      <c r="E655" s="7" t="s">
        <v>702</v>
      </c>
      <c r="F655" s="7" t="s">
        <v>505</v>
      </c>
      <c r="G655" s="7" t="s">
        <v>3</v>
      </c>
    </row>
    <row r="656" spans="1:7">
      <c r="A656" s="7" t="s">
        <v>503</v>
      </c>
      <c r="B656" s="7" t="s">
        <v>27</v>
      </c>
      <c r="C656" s="7" t="str">
        <f>VLOOKUP(B656,Indice!$B$1:$C$22,2,0)</f>
        <v>CSIS</v>
      </c>
      <c r="D656" s="7" t="str">
        <f>$A656&amp;"-"&amp;$C656&amp;"-"&amp;TEXT(COUNTIFS($A$2:$A656,$A656,$C$2:$C656,$C656),"000")</f>
        <v>F2-CSIS-196</v>
      </c>
      <c r="E656" s="7" t="s">
        <v>703</v>
      </c>
      <c r="F656" s="7" t="s">
        <v>505</v>
      </c>
      <c r="G656" s="7" t="s">
        <v>3</v>
      </c>
    </row>
    <row r="657" spans="1:7">
      <c r="A657" s="7" t="s">
        <v>503</v>
      </c>
      <c r="B657" s="7" t="s">
        <v>27</v>
      </c>
      <c r="C657" s="7" t="str">
        <f>VLOOKUP(B657,Indice!$B$1:$C$22,2,0)</f>
        <v>CSIS</v>
      </c>
      <c r="D657" s="7" t="str">
        <f>$A657&amp;"-"&amp;$C657&amp;"-"&amp;TEXT(COUNTIFS($A$2:$A657,$A657,$C$2:$C657,$C657),"000")</f>
        <v>F2-CSIS-197</v>
      </c>
      <c r="E657" s="7" t="s">
        <v>704</v>
      </c>
      <c r="F657" s="7" t="s">
        <v>505</v>
      </c>
      <c r="G657" s="7" t="s">
        <v>3</v>
      </c>
    </row>
    <row r="658" spans="1:7">
      <c r="A658" s="7" t="s">
        <v>503</v>
      </c>
      <c r="B658" s="7" t="s">
        <v>27</v>
      </c>
      <c r="C658" s="7" t="str">
        <f>VLOOKUP(B658,Indice!$B$1:$C$22,2,0)</f>
        <v>CSIS</v>
      </c>
      <c r="D658" s="7" t="str">
        <f>$A658&amp;"-"&amp;$C658&amp;"-"&amp;TEXT(COUNTIFS($A$2:$A658,$A658,$C$2:$C658,$C658),"000")</f>
        <v>F2-CSIS-198</v>
      </c>
      <c r="E658" s="7" t="s">
        <v>705</v>
      </c>
      <c r="F658" s="7" t="s">
        <v>505</v>
      </c>
      <c r="G658" s="7" t="s">
        <v>3</v>
      </c>
    </row>
    <row r="659" spans="1:7">
      <c r="A659" s="7" t="s">
        <v>503</v>
      </c>
      <c r="B659" s="7" t="s">
        <v>27</v>
      </c>
      <c r="C659" s="7" t="str">
        <f>VLOOKUP(B659,Indice!$B$1:$C$22,2,0)</f>
        <v>CSIS</v>
      </c>
      <c r="D659" s="7" t="str">
        <f>$A659&amp;"-"&amp;$C659&amp;"-"&amp;TEXT(COUNTIFS($A$2:$A659,$A659,$C$2:$C659,$C659),"000")</f>
        <v>F2-CSIS-199</v>
      </c>
      <c r="E659" s="7" t="s">
        <v>706</v>
      </c>
      <c r="F659" s="7" t="s">
        <v>505</v>
      </c>
      <c r="G659" s="7" t="s">
        <v>3</v>
      </c>
    </row>
    <row r="660" spans="1:7">
      <c r="A660" s="7" t="s">
        <v>503</v>
      </c>
      <c r="B660" s="7" t="s">
        <v>27</v>
      </c>
      <c r="C660" s="7" t="str">
        <f>VLOOKUP(B660,Indice!$B$1:$C$22,2,0)</f>
        <v>CSIS</v>
      </c>
      <c r="D660" s="7" t="str">
        <f>$A660&amp;"-"&amp;$C660&amp;"-"&amp;TEXT(COUNTIFS($A$2:$A660,$A660,$C$2:$C660,$C660),"000")</f>
        <v>F2-CSIS-200</v>
      </c>
      <c r="E660" s="7" t="s">
        <v>707</v>
      </c>
      <c r="F660" s="7" t="s">
        <v>505</v>
      </c>
      <c r="G660" s="7" t="s">
        <v>3</v>
      </c>
    </row>
    <row r="661" spans="1:7">
      <c r="A661" s="7" t="s">
        <v>503</v>
      </c>
      <c r="B661" s="7" t="s">
        <v>27</v>
      </c>
      <c r="C661" s="7" t="str">
        <f>VLOOKUP(B661,Indice!$B$1:$C$22,2,0)</f>
        <v>CSIS</v>
      </c>
      <c r="D661" s="7" t="str">
        <f>$A661&amp;"-"&amp;$C661&amp;"-"&amp;TEXT(COUNTIFS($A$2:$A661,$A661,$C$2:$C661,$C661),"000")</f>
        <v>F2-CSIS-201</v>
      </c>
      <c r="E661" s="7" t="s">
        <v>708</v>
      </c>
      <c r="F661" s="7" t="s">
        <v>505</v>
      </c>
      <c r="G661" s="7" t="s">
        <v>3</v>
      </c>
    </row>
    <row r="662" spans="1:7">
      <c r="A662" s="7" t="s">
        <v>503</v>
      </c>
      <c r="B662" s="7" t="s">
        <v>27</v>
      </c>
      <c r="C662" s="7" t="str">
        <f>VLOOKUP(B662,Indice!$B$1:$C$22,2,0)</f>
        <v>CSIS</v>
      </c>
      <c r="D662" s="7" t="str">
        <f>$A662&amp;"-"&amp;$C662&amp;"-"&amp;TEXT(COUNTIFS($A$2:$A662,$A662,$C$2:$C662,$C662),"000")</f>
        <v>F2-CSIS-202</v>
      </c>
      <c r="E662" s="7" t="s">
        <v>709</v>
      </c>
      <c r="F662" s="7" t="s">
        <v>505</v>
      </c>
      <c r="G662" s="7" t="s">
        <v>3</v>
      </c>
    </row>
    <row r="663" spans="1:7">
      <c r="A663" s="7" t="s">
        <v>503</v>
      </c>
      <c r="B663" s="7" t="s">
        <v>27</v>
      </c>
      <c r="C663" s="7" t="str">
        <f>VLOOKUP(B663,Indice!$B$1:$C$22,2,0)</f>
        <v>CSIS</v>
      </c>
      <c r="D663" s="7" t="str">
        <f>$A663&amp;"-"&amp;$C663&amp;"-"&amp;TEXT(COUNTIFS($A$2:$A663,$A663,$C$2:$C663,$C663),"000")</f>
        <v>F2-CSIS-203</v>
      </c>
      <c r="E663" s="7" t="s">
        <v>710</v>
      </c>
      <c r="F663" s="7" t="s">
        <v>505</v>
      </c>
      <c r="G663" s="7" t="s">
        <v>3</v>
      </c>
    </row>
    <row r="664" spans="1:7">
      <c r="A664" s="7" t="s">
        <v>503</v>
      </c>
      <c r="B664" s="7" t="s">
        <v>27</v>
      </c>
      <c r="C664" s="7" t="str">
        <f>VLOOKUP(B664,Indice!$B$1:$C$22,2,0)</f>
        <v>CSIS</v>
      </c>
      <c r="D664" s="7" t="str">
        <f>$A664&amp;"-"&amp;$C664&amp;"-"&amp;TEXT(COUNTIFS($A$2:$A664,$A664,$C$2:$C664,$C664),"000")</f>
        <v>F2-CSIS-204</v>
      </c>
      <c r="E664" s="7" t="s">
        <v>711</v>
      </c>
      <c r="F664" s="7" t="s">
        <v>505</v>
      </c>
      <c r="G664" s="7" t="s">
        <v>3</v>
      </c>
    </row>
    <row r="665" spans="1:7">
      <c r="A665" s="7" t="s">
        <v>503</v>
      </c>
      <c r="B665" s="7" t="s">
        <v>27</v>
      </c>
      <c r="C665" s="7" t="str">
        <f>VLOOKUP(B665,Indice!$B$1:$C$22,2,0)</f>
        <v>CSIS</v>
      </c>
      <c r="D665" s="7" t="str">
        <f>$A665&amp;"-"&amp;$C665&amp;"-"&amp;TEXT(COUNTIFS($A$2:$A665,$A665,$C$2:$C665,$C665),"000")</f>
        <v>F2-CSIS-205</v>
      </c>
      <c r="E665" s="7" t="s">
        <v>712</v>
      </c>
      <c r="F665" s="7" t="s">
        <v>505</v>
      </c>
      <c r="G665" s="7" t="s">
        <v>3</v>
      </c>
    </row>
    <row r="666" spans="1:7">
      <c r="A666" s="7" t="s">
        <v>503</v>
      </c>
      <c r="B666" s="7" t="s">
        <v>27</v>
      </c>
      <c r="C666" s="7" t="str">
        <f>VLOOKUP(B666,Indice!$B$1:$C$22,2,0)</f>
        <v>CSIS</v>
      </c>
      <c r="D666" s="7" t="str">
        <f>$A666&amp;"-"&amp;$C666&amp;"-"&amp;TEXT(COUNTIFS($A$2:$A666,$A666,$C$2:$C666,$C666),"000")</f>
        <v>F2-CSIS-206</v>
      </c>
      <c r="E666" s="7" t="s">
        <v>713</v>
      </c>
      <c r="F666" s="7" t="s">
        <v>505</v>
      </c>
      <c r="G666" s="7" t="s">
        <v>3</v>
      </c>
    </row>
    <row r="667" spans="1:7">
      <c r="A667" s="7" t="s">
        <v>503</v>
      </c>
      <c r="B667" s="7" t="s">
        <v>27</v>
      </c>
      <c r="C667" s="7" t="str">
        <f>VLOOKUP(B667,Indice!$B$1:$C$22,2,0)</f>
        <v>CSIS</v>
      </c>
      <c r="D667" s="7" t="str">
        <f>$A667&amp;"-"&amp;$C667&amp;"-"&amp;TEXT(COUNTIFS($A$2:$A667,$A667,$C$2:$C667,$C667),"000")</f>
        <v>F2-CSIS-207</v>
      </c>
      <c r="E667" s="7" t="s">
        <v>714</v>
      </c>
      <c r="F667" s="7" t="s">
        <v>505</v>
      </c>
      <c r="G667" s="7" t="s">
        <v>3</v>
      </c>
    </row>
    <row r="668" spans="1:7">
      <c r="A668" s="7" t="s">
        <v>503</v>
      </c>
      <c r="B668" s="7" t="s">
        <v>27</v>
      </c>
      <c r="C668" s="7" t="str">
        <f>VLOOKUP(B668,Indice!$B$1:$C$22,2,0)</f>
        <v>CSIS</v>
      </c>
      <c r="D668" s="7" t="str">
        <f>$A668&amp;"-"&amp;$C668&amp;"-"&amp;TEXT(COUNTIFS($A$2:$A668,$A668,$C$2:$C668,$C668),"000")</f>
        <v>F2-CSIS-208</v>
      </c>
      <c r="E668" s="7" t="s">
        <v>715</v>
      </c>
      <c r="F668" s="7" t="s">
        <v>638</v>
      </c>
      <c r="G668" s="7" t="s">
        <v>3</v>
      </c>
    </row>
    <row r="669" spans="1:7">
      <c r="A669" s="7" t="s">
        <v>503</v>
      </c>
      <c r="B669" s="7" t="s">
        <v>27</v>
      </c>
      <c r="C669" s="7" t="str">
        <f>VLOOKUP(B669,Indice!$B$1:$C$22,2,0)</f>
        <v>CSIS</v>
      </c>
      <c r="D669" s="7" t="str">
        <f>$A669&amp;"-"&amp;$C669&amp;"-"&amp;TEXT(COUNTIFS($A$2:$A669,$A669,$C$2:$C669,$C669),"000")</f>
        <v>F2-CSIS-209</v>
      </c>
      <c r="E669" s="7" t="s">
        <v>716</v>
      </c>
      <c r="F669" s="7" t="s">
        <v>505</v>
      </c>
      <c r="G669" s="7" t="s">
        <v>3</v>
      </c>
    </row>
    <row r="670" spans="1:7">
      <c r="A670" s="7" t="s">
        <v>503</v>
      </c>
      <c r="B670" s="7" t="s">
        <v>27</v>
      </c>
      <c r="C670" s="7" t="str">
        <f>VLOOKUP(B670,Indice!$B$1:$C$22,2,0)</f>
        <v>CSIS</v>
      </c>
      <c r="D670" s="7" t="str">
        <f>$A670&amp;"-"&amp;$C670&amp;"-"&amp;TEXT(COUNTIFS($A$2:$A670,$A670,$C$2:$C670,$C670),"000")</f>
        <v>F2-CSIS-210</v>
      </c>
      <c r="E670" s="7" t="s">
        <v>717</v>
      </c>
      <c r="F670" s="7" t="s">
        <v>505</v>
      </c>
      <c r="G670" s="7" t="s">
        <v>3</v>
      </c>
    </row>
    <row r="671" spans="1:7">
      <c r="A671" s="7" t="s">
        <v>503</v>
      </c>
      <c r="B671" s="7" t="s">
        <v>27</v>
      </c>
      <c r="C671" s="7" t="str">
        <f>VLOOKUP(B671,Indice!$B$1:$C$22,2,0)</f>
        <v>CSIS</v>
      </c>
      <c r="D671" s="7" t="str">
        <f>$A671&amp;"-"&amp;$C671&amp;"-"&amp;TEXT(COUNTIFS($A$2:$A671,$A671,$C$2:$C671,$C671),"000")</f>
        <v>F2-CSIS-211</v>
      </c>
      <c r="E671" s="7" t="s">
        <v>718</v>
      </c>
      <c r="F671" s="7" t="s">
        <v>505</v>
      </c>
      <c r="G671" s="7" t="s">
        <v>3</v>
      </c>
    </row>
    <row r="672" spans="1:7">
      <c r="A672" s="7" t="s">
        <v>503</v>
      </c>
      <c r="B672" s="7" t="s">
        <v>27</v>
      </c>
      <c r="C672" s="7" t="str">
        <f>VLOOKUP(B672,Indice!$B$1:$C$22,2,0)</f>
        <v>CSIS</v>
      </c>
      <c r="D672" s="7" t="str">
        <f>$A672&amp;"-"&amp;$C672&amp;"-"&amp;TEXT(COUNTIFS($A$2:$A672,$A672,$C$2:$C672,$C672),"000")</f>
        <v>F2-CSIS-212</v>
      </c>
      <c r="E672" s="7" t="s">
        <v>719</v>
      </c>
      <c r="F672" s="7" t="s">
        <v>505</v>
      </c>
      <c r="G672" s="7" t="s">
        <v>3</v>
      </c>
    </row>
    <row r="673" spans="1:7">
      <c r="A673" s="7" t="s">
        <v>503</v>
      </c>
      <c r="B673" s="7" t="s">
        <v>27</v>
      </c>
      <c r="C673" s="7" t="str">
        <f>VLOOKUP(B673,Indice!$B$1:$C$22,2,0)</f>
        <v>CSIS</v>
      </c>
      <c r="D673" s="7" t="str">
        <f>$A673&amp;"-"&amp;$C673&amp;"-"&amp;TEXT(COUNTIFS($A$2:$A673,$A673,$C$2:$C673,$C673),"000")</f>
        <v>F2-CSIS-213</v>
      </c>
      <c r="E673" s="7" t="s">
        <v>720</v>
      </c>
      <c r="F673" s="7" t="s">
        <v>505</v>
      </c>
      <c r="G673" s="7" t="s">
        <v>3</v>
      </c>
    </row>
    <row r="674" spans="1:7">
      <c r="A674" s="7" t="s">
        <v>503</v>
      </c>
      <c r="B674" s="7" t="s">
        <v>27</v>
      </c>
      <c r="C674" s="7" t="str">
        <f>VLOOKUP(B674,Indice!$B$1:$C$22,2,0)</f>
        <v>CSIS</v>
      </c>
      <c r="D674" s="7" t="str">
        <f>$A674&amp;"-"&amp;$C674&amp;"-"&amp;TEXT(COUNTIFS($A$2:$A674,$A674,$C$2:$C674,$C674),"000")</f>
        <v>F2-CSIS-214</v>
      </c>
      <c r="E674" s="7" t="s">
        <v>721</v>
      </c>
      <c r="F674" s="7" t="s">
        <v>505</v>
      </c>
      <c r="G674" s="7" t="s">
        <v>3</v>
      </c>
    </row>
    <row r="675" spans="1:7">
      <c r="A675" s="7" t="s">
        <v>503</v>
      </c>
      <c r="B675" s="7" t="s">
        <v>29</v>
      </c>
      <c r="C675" s="7" t="str">
        <f>VLOOKUP(B675,Indice!$B$1:$C$22,2,0)</f>
        <v>ESA</v>
      </c>
      <c r="D675" s="7" t="str">
        <f>$A675&amp;"-"&amp;$C675&amp;"-"&amp;TEXT(COUNTIFS($A$2:$A675,$A675,$C$2:$C675,$C675),"000")</f>
        <v>F2-ESA-001</v>
      </c>
      <c r="E675" s="7" t="s">
        <v>722</v>
      </c>
      <c r="F675" s="7" t="s">
        <v>723</v>
      </c>
      <c r="G675" s="7" t="s">
        <v>4</v>
      </c>
    </row>
    <row r="676" spans="1:7">
      <c r="A676" s="7" t="s">
        <v>503</v>
      </c>
      <c r="B676" s="7" t="s">
        <v>29</v>
      </c>
      <c r="C676" s="7" t="str">
        <f>VLOOKUP(B676,Indice!$B$1:$C$22,2,0)</f>
        <v>ESA</v>
      </c>
      <c r="D676" s="7" t="str">
        <f>$A676&amp;"-"&amp;$C676&amp;"-"&amp;TEXT(COUNTIFS($A$2:$A676,$A676,$C$2:$C676,$C676),"000")</f>
        <v>F2-ESA-002</v>
      </c>
      <c r="E676" s="7" t="s">
        <v>724</v>
      </c>
      <c r="F676" s="7" t="s">
        <v>723</v>
      </c>
      <c r="G676" s="7" t="s">
        <v>4</v>
      </c>
    </row>
    <row r="677" spans="1:7">
      <c r="A677" s="7" t="s">
        <v>503</v>
      </c>
      <c r="B677" s="7" t="s">
        <v>29</v>
      </c>
      <c r="C677" s="7" t="str">
        <f>VLOOKUP(B677,Indice!$B$1:$C$22,2,0)</f>
        <v>ESA</v>
      </c>
      <c r="D677" s="7" t="str">
        <f>$A677&amp;"-"&amp;$C677&amp;"-"&amp;TEXT(COUNTIFS($A$2:$A677,$A677,$C$2:$C677,$C677),"000")</f>
        <v>F2-ESA-003</v>
      </c>
      <c r="E677" s="7" t="s">
        <v>725</v>
      </c>
      <c r="F677" s="7" t="s">
        <v>723</v>
      </c>
      <c r="G677" s="7" t="s">
        <v>4</v>
      </c>
    </row>
    <row r="678" spans="1:7">
      <c r="A678" s="7" t="s">
        <v>503</v>
      </c>
      <c r="B678" s="7" t="s">
        <v>29</v>
      </c>
      <c r="C678" s="7" t="str">
        <f>VLOOKUP(B678,Indice!$B$1:$C$22,2,0)</f>
        <v>ESA</v>
      </c>
      <c r="D678" s="7" t="str">
        <f>$A678&amp;"-"&amp;$C678&amp;"-"&amp;TEXT(COUNTIFS($A$2:$A678,$A678,$C$2:$C678,$C678),"000")</f>
        <v>F2-ESA-004</v>
      </c>
      <c r="E678" s="7" t="s">
        <v>726</v>
      </c>
      <c r="F678" s="7" t="s">
        <v>727</v>
      </c>
      <c r="G678" s="7" t="s">
        <v>3</v>
      </c>
    </row>
    <row r="679" spans="1:7">
      <c r="A679" s="7" t="s">
        <v>503</v>
      </c>
      <c r="B679" s="7" t="s">
        <v>29</v>
      </c>
      <c r="C679" s="7" t="str">
        <f>VLOOKUP(B679,Indice!$B$1:$C$22,2,0)</f>
        <v>ESA</v>
      </c>
      <c r="D679" s="7" t="str">
        <f>$A679&amp;"-"&amp;$C679&amp;"-"&amp;TEXT(COUNTIFS($A$2:$A679,$A679,$C$2:$C679,$C679),"000")</f>
        <v>F2-ESA-005</v>
      </c>
      <c r="E679" s="7" t="s">
        <v>728</v>
      </c>
      <c r="F679" s="7" t="s">
        <v>723</v>
      </c>
      <c r="G679" s="7" t="s">
        <v>4</v>
      </c>
    </row>
    <row r="680" spans="1:7">
      <c r="A680" s="7" t="s">
        <v>503</v>
      </c>
      <c r="B680" s="7" t="s">
        <v>29</v>
      </c>
      <c r="C680" s="7" t="str">
        <f>VLOOKUP(B680,Indice!$B$1:$C$22,2,0)</f>
        <v>ESA</v>
      </c>
      <c r="D680" s="7" t="str">
        <f>$A680&amp;"-"&amp;$C680&amp;"-"&amp;TEXT(COUNTIFS($A$2:$A680,$A680,$C$2:$C680,$C680),"000")</f>
        <v>F2-ESA-006</v>
      </c>
      <c r="E680" s="7" t="s">
        <v>729</v>
      </c>
      <c r="F680" s="7" t="s">
        <v>723</v>
      </c>
      <c r="G680" s="7" t="s">
        <v>4</v>
      </c>
    </row>
    <row r="681" spans="1:7">
      <c r="A681" s="7" t="s">
        <v>503</v>
      </c>
      <c r="B681" s="7" t="s">
        <v>29</v>
      </c>
      <c r="C681" s="7" t="str">
        <f>VLOOKUP(B681,Indice!$B$1:$C$22,2,0)</f>
        <v>ESA</v>
      </c>
      <c r="D681" s="7" t="str">
        <f>$A681&amp;"-"&amp;$C681&amp;"-"&amp;TEXT(COUNTIFS($A$2:$A681,$A681,$C$2:$C681,$C681),"000")</f>
        <v>F2-ESA-007</v>
      </c>
      <c r="E681" s="7" t="s">
        <v>730</v>
      </c>
      <c r="F681" s="7" t="s">
        <v>723</v>
      </c>
      <c r="G681" s="7" t="s">
        <v>4</v>
      </c>
    </row>
    <row r="682" spans="1:7">
      <c r="A682" s="7" t="s">
        <v>503</v>
      </c>
      <c r="B682" s="7" t="s">
        <v>29</v>
      </c>
      <c r="C682" s="7" t="str">
        <f>VLOOKUP(B682,Indice!$B$1:$C$22,2,0)</f>
        <v>ESA</v>
      </c>
      <c r="D682" s="7" t="str">
        <f>$A682&amp;"-"&amp;$C682&amp;"-"&amp;TEXT(COUNTIFS($A$2:$A682,$A682,$C$2:$C682,$C682),"000")</f>
        <v>F2-ESA-008</v>
      </c>
      <c r="E682" s="7" t="s">
        <v>731</v>
      </c>
      <c r="F682" s="7" t="s">
        <v>723</v>
      </c>
      <c r="G682" s="7" t="s">
        <v>4</v>
      </c>
    </row>
    <row r="683" spans="1:7">
      <c r="A683" s="7" t="s">
        <v>503</v>
      </c>
      <c r="B683" s="7" t="s">
        <v>29</v>
      </c>
      <c r="C683" s="7" t="str">
        <f>VLOOKUP(B683,Indice!$B$1:$C$22,2,0)</f>
        <v>ESA</v>
      </c>
      <c r="D683" s="7" t="str">
        <f>$A683&amp;"-"&amp;$C683&amp;"-"&amp;TEXT(COUNTIFS($A$2:$A683,$A683,$C$2:$C683,$C683),"000")</f>
        <v>F2-ESA-009</v>
      </c>
      <c r="E683" s="7" t="s">
        <v>732</v>
      </c>
      <c r="F683" s="7" t="s">
        <v>723</v>
      </c>
      <c r="G683" s="7" t="s">
        <v>4</v>
      </c>
    </row>
    <row r="684" spans="1:7">
      <c r="A684" s="7" t="s">
        <v>503</v>
      </c>
      <c r="B684" s="7" t="s">
        <v>29</v>
      </c>
      <c r="C684" s="7" t="str">
        <f>VLOOKUP(B684,Indice!$B$1:$C$22,2,0)</f>
        <v>ESA</v>
      </c>
      <c r="D684" s="7" t="str">
        <f>$A684&amp;"-"&amp;$C684&amp;"-"&amp;TEXT(COUNTIFS($A$2:$A684,$A684,$C$2:$C684,$C684),"000")</f>
        <v>F2-ESA-010</v>
      </c>
      <c r="E684" s="7" t="s">
        <v>733</v>
      </c>
      <c r="F684" s="7" t="s">
        <v>723</v>
      </c>
      <c r="G684" s="7" t="s">
        <v>4</v>
      </c>
    </row>
    <row r="685" spans="1:7">
      <c r="A685" s="7" t="s">
        <v>503</v>
      </c>
      <c r="B685" s="7" t="s">
        <v>29</v>
      </c>
      <c r="C685" s="7" t="str">
        <f>VLOOKUP(B685,Indice!$B$1:$C$22,2,0)</f>
        <v>ESA</v>
      </c>
      <c r="D685" s="7" t="str">
        <f>$A685&amp;"-"&amp;$C685&amp;"-"&amp;TEXT(COUNTIFS($A$2:$A685,$A685,$C$2:$C685,$C685),"000")</f>
        <v>F2-ESA-011</v>
      </c>
      <c r="E685" s="7" t="s">
        <v>734</v>
      </c>
      <c r="F685" s="7" t="s">
        <v>735</v>
      </c>
      <c r="G685" s="7" t="s">
        <v>3</v>
      </c>
    </row>
    <row r="686" spans="1:7">
      <c r="A686" s="7" t="s">
        <v>503</v>
      </c>
      <c r="B686" s="7" t="s">
        <v>29</v>
      </c>
      <c r="C686" s="7" t="str">
        <f>VLOOKUP(B686,Indice!$B$1:$C$22,2,0)</f>
        <v>ESA</v>
      </c>
      <c r="D686" s="7" t="str">
        <f>$A686&amp;"-"&amp;$C686&amp;"-"&amp;TEXT(COUNTIFS($A$2:$A686,$A686,$C$2:$C686,$C686),"000")</f>
        <v>F2-ESA-012</v>
      </c>
      <c r="E686" s="7" t="s">
        <v>736</v>
      </c>
      <c r="F686" s="7" t="s">
        <v>723</v>
      </c>
      <c r="G686" s="7" t="s">
        <v>4</v>
      </c>
    </row>
    <row r="687" spans="1:7">
      <c r="A687" s="7" t="s">
        <v>503</v>
      </c>
      <c r="B687" s="7" t="s">
        <v>29</v>
      </c>
      <c r="C687" s="7" t="str">
        <f>VLOOKUP(B687,Indice!$B$1:$C$22,2,0)</f>
        <v>ESA</v>
      </c>
      <c r="D687" s="7" t="str">
        <f>$A687&amp;"-"&amp;$C687&amp;"-"&amp;TEXT(COUNTIFS($A$2:$A687,$A687,$C$2:$C687,$C687),"000")</f>
        <v>F2-ESA-013</v>
      </c>
      <c r="E687" s="7" t="s">
        <v>737</v>
      </c>
      <c r="F687" s="7" t="s">
        <v>738</v>
      </c>
      <c r="G687" s="7" t="s">
        <v>3</v>
      </c>
    </row>
    <row r="688" spans="1:7">
      <c r="A688" s="7" t="s">
        <v>503</v>
      </c>
      <c r="B688" s="7" t="s">
        <v>29</v>
      </c>
      <c r="C688" s="7" t="str">
        <f>VLOOKUP(B688,Indice!$B$1:$C$22,2,0)</f>
        <v>ESA</v>
      </c>
      <c r="D688" s="7" t="str">
        <f>$A688&amp;"-"&amp;$C688&amp;"-"&amp;TEXT(COUNTIFS($A$2:$A688,$A688,$C$2:$C688,$C688),"000")</f>
        <v>F2-ESA-014</v>
      </c>
      <c r="E688" s="7" t="s">
        <v>739</v>
      </c>
      <c r="F688" s="7" t="s">
        <v>735</v>
      </c>
      <c r="G688" s="7" t="s">
        <v>3</v>
      </c>
    </row>
    <row r="689" spans="1:7">
      <c r="A689" s="7" t="s">
        <v>503</v>
      </c>
      <c r="B689" s="7" t="s">
        <v>29</v>
      </c>
      <c r="C689" s="7" t="str">
        <f>VLOOKUP(B689,Indice!$B$1:$C$22,2,0)</f>
        <v>ESA</v>
      </c>
      <c r="D689" s="7" t="str">
        <f>$A689&amp;"-"&amp;$C689&amp;"-"&amp;TEXT(COUNTIFS($A$2:$A689,$A689,$C$2:$C689,$C689),"000")</f>
        <v>F2-ESA-015</v>
      </c>
      <c r="E689" s="7" t="s">
        <v>740</v>
      </c>
      <c r="F689" s="7" t="s">
        <v>727</v>
      </c>
      <c r="G689" s="7" t="s">
        <v>3</v>
      </c>
    </row>
    <row r="690" spans="1:7">
      <c r="A690" s="7" t="s">
        <v>503</v>
      </c>
      <c r="B690" s="7" t="s">
        <v>29</v>
      </c>
      <c r="C690" s="7" t="str">
        <f>VLOOKUP(B690,Indice!$B$1:$C$22,2,0)</f>
        <v>ESA</v>
      </c>
      <c r="D690" s="7" t="str">
        <f>$A690&amp;"-"&amp;$C690&amp;"-"&amp;TEXT(COUNTIFS($A$2:$A690,$A690,$C$2:$C690,$C690),"000")</f>
        <v>F2-ESA-016</v>
      </c>
      <c r="E690" s="7" t="s">
        <v>741</v>
      </c>
      <c r="F690" s="7" t="s">
        <v>727</v>
      </c>
      <c r="G690" s="7" t="s">
        <v>3</v>
      </c>
    </row>
    <row r="691" spans="1:7">
      <c r="A691" s="7" t="s">
        <v>503</v>
      </c>
      <c r="B691" s="7" t="s">
        <v>29</v>
      </c>
      <c r="C691" s="7" t="str">
        <f>VLOOKUP(B691,Indice!$B$1:$C$22,2,0)</f>
        <v>ESA</v>
      </c>
      <c r="D691" s="7" t="str">
        <f>$A691&amp;"-"&amp;$C691&amp;"-"&amp;TEXT(COUNTIFS($A$2:$A691,$A691,$C$2:$C691,$C691),"000")</f>
        <v>F2-ESA-017</v>
      </c>
      <c r="E691" s="7" t="s">
        <v>742</v>
      </c>
      <c r="F691" s="7" t="s">
        <v>738</v>
      </c>
      <c r="G691" s="7" t="s">
        <v>3</v>
      </c>
    </row>
    <row r="692" spans="1:7">
      <c r="A692" s="7" t="s">
        <v>503</v>
      </c>
      <c r="B692" s="7" t="s">
        <v>29</v>
      </c>
      <c r="C692" s="7" t="str">
        <f>VLOOKUP(B692,Indice!$B$1:$C$22,2,0)</f>
        <v>ESA</v>
      </c>
      <c r="D692" s="7" t="str">
        <f>$A692&amp;"-"&amp;$C692&amp;"-"&amp;TEXT(COUNTIFS($A$2:$A692,$A692,$C$2:$C692,$C692),"000")</f>
        <v>F2-ESA-018</v>
      </c>
      <c r="E692" s="7" t="s">
        <v>743</v>
      </c>
      <c r="F692" s="7" t="s">
        <v>738</v>
      </c>
      <c r="G692" s="7" t="s">
        <v>3</v>
      </c>
    </row>
    <row r="693" spans="1:7">
      <c r="A693" s="7" t="s">
        <v>503</v>
      </c>
      <c r="B693" s="7" t="s">
        <v>29</v>
      </c>
      <c r="C693" s="7" t="str">
        <f>VLOOKUP(B693,Indice!$B$1:$C$22,2,0)</f>
        <v>ESA</v>
      </c>
      <c r="D693" s="7" t="str">
        <f>$A693&amp;"-"&amp;$C693&amp;"-"&amp;TEXT(COUNTIFS($A$2:$A693,$A693,$C$2:$C693,$C693),"000")</f>
        <v>F2-ESA-019</v>
      </c>
      <c r="E693" s="7" t="s">
        <v>744</v>
      </c>
      <c r="F693" s="7" t="s">
        <v>738</v>
      </c>
      <c r="G693" s="7" t="s">
        <v>3</v>
      </c>
    </row>
    <row r="694" spans="1:7">
      <c r="A694" s="7" t="s">
        <v>503</v>
      </c>
      <c r="B694" s="7" t="s">
        <v>29</v>
      </c>
      <c r="C694" s="7" t="str">
        <f>VLOOKUP(B694,Indice!$B$1:$C$22,2,0)</f>
        <v>ESA</v>
      </c>
      <c r="D694" s="7" t="str">
        <f>$A694&amp;"-"&amp;$C694&amp;"-"&amp;TEXT(COUNTIFS($A$2:$A694,$A694,$C$2:$C694,$C694),"000")</f>
        <v>F2-ESA-020</v>
      </c>
      <c r="E694" s="7" t="s">
        <v>745</v>
      </c>
      <c r="F694" s="7" t="s">
        <v>723</v>
      </c>
      <c r="G694" s="7" t="s">
        <v>4</v>
      </c>
    </row>
    <row r="695" spans="1:7">
      <c r="A695" s="7" t="s">
        <v>503</v>
      </c>
      <c r="B695" s="7" t="s">
        <v>29</v>
      </c>
      <c r="C695" s="7" t="str">
        <f>VLOOKUP(B695,Indice!$B$1:$C$22,2,0)</f>
        <v>ESA</v>
      </c>
      <c r="D695" s="7" t="str">
        <f>$A695&amp;"-"&amp;$C695&amp;"-"&amp;TEXT(COUNTIFS($A$2:$A695,$A695,$C$2:$C695,$C695),"000")</f>
        <v>F2-ESA-021</v>
      </c>
      <c r="E695" s="7" t="s">
        <v>746</v>
      </c>
      <c r="F695" s="7" t="s">
        <v>723</v>
      </c>
      <c r="G695" s="7" t="s">
        <v>4</v>
      </c>
    </row>
    <row r="696" spans="1:7">
      <c r="A696" s="7" t="s">
        <v>503</v>
      </c>
      <c r="B696" s="7" t="s">
        <v>29</v>
      </c>
      <c r="C696" s="7" t="str">
        <f>VLOOKUP(B696,Indice!$B$1:$C$22,2,0)</f>
        <v>ESA</v>
      </c>
      <c r="D696" s="7" t="str">
        <f>$A696&amp;"-"&amp;$C696&amp;"-"&amp;TEXT(COUNTIFS($A$2:$A696,$A696,$C$2:$C696,$C696),"000")</f>
        <v>F2-ESA-022</v>
      </c>
      <c r="E696" s="7" t="s">
        <v>747</v>
      </c>
      <c r="F696" s="7" t="s">
        <v>723</v>
      </c>
      <c r="G696" s="7" t="s">
        <v>4</v>
      </c>
    </row>
    <row r="697" spans="1:7">
      <c r="A697" s="7" t="s">
        <v>503</v>
      </c>
      <c r="B697" s="7" t="s">
        <v>29</v>
      </c>
      <c r="C697" s="7" t="str">
        <f>VLOOKUP(B697,Indice!$B$1:$C$22,2,0)</f>
        <v>ESA</v>
      </c>
      <c r="D697" s="7" t="str">
        <f>$A697&amp;"-"&amp;$C697&amp;"-"&amp;TEXT(COUNTIFS($A$2:$A697,$A697,$C$2:$C697,$C697),"000")</f>
        <v>F2-ESA-023</v>
      </c>
      <c r="E697" s="7" t="s">
        <v>748</v>
      </c>
      <c r="F697" s="7" t="s">
        <v>723</v>
      </c>
      <c r="G697" s="7" t="s">
        <v>4</v>
      </c>
    </row>
    <row r="698" spans="1:7">
      <c r="A698" s="7" t="s">
        <v>503</v>
      </c>
      <c r="B698" s="7" t="s">
        <v>29</v>
      </c>
      <c r="C698" s="7" t="str">
        <f>VLOOKUP(B698,Indice!$B$1:$C$22,2,0)</f>
        <v>ESA</v>
      </c>
      <c r="D698" s="7" t="str">
        <f>$A698&amp;"-"&amp;$C698&amp;"-"&amp;TEXT(COUNTIFS($A$2:$A698,$A698,$C$2:$C698,$C698),"000")</f>
        <v>F2-ESA-024</v>
      </c>
      <c r="E698" s="7" t="s">
        <v>749</v>
      </c>
      <c r="F698" s="7" t="s">
        <v>723</v>
      </c>
      <c r="G698" s="7" t="s">
        <v>4</v>
      </c>
    </row>
    <row r="699" spans="1:7">
      <c r="A699" s="7" t="s">
        <v>503</v>
      </c>
      <c r="B699" s="7" t="s">
        <v>29</v>
      </c>
      <c r="C699" s="7" t="str">
        <f>VLOOKUP(B699,Indice!$B$1:$C$22,2,0)</f>
        <v>ESA</v>
      </c>
      <c r="D699" s="7" t="str">
        <f>$A699&amp;"-"&amp;$C699&amp;"-"&amp;TEXT(COUNTIFS($A$2:$A699,$A699,$C$2:$C699,$C699),"000")</f>
        <v>F2-ESA-025</v>
      </c>
      <c r="E699" s="7" t="s">
        <v>750</v>
      </c>
      <c r="F699" s="7" t="s">
        <v>723</v>
      </c>
      <c r="G699" s="7" t="s">
        <v>4</v>
      </c>
    </row>
    <row r="700" spans="1:7">
      <c r="A700" s="7" t="s">
        <v>503</v>
      </c>
      <c r="B700" s="7" t="s">
        <v>29</v>
      </c>
      <c r="C700" s="7" t="str">
        <f>VLOOKUP(B700,Indice!$B$1:$C$22,2,0)</f>
        <v>ESA</v>
      </c>
      <c r="D700" s="7" t="str">
        <f>$A700&amp;"-"&amp;$C700&amp;"-"&amp;TEXT(COUNTIFS($A$2:$A700,$A700,$C$2:$C700,$C700),"000")</f>
        <v>F2-ESA-026</v>
      </c>
      <c r="E700" s="7" t="s">
        <v>751</v>
      </c>
      <c r="F700" s="7" t="s">
        <v>735</v>
      </c>
      <c r="G700" s="7" t="s">
        <v>3</v>
      </c>
    </row>
    <row r="701" spans="1:7">
      <c r="A701" s="7" t="s">
        <v>503</v>
      </c>
      <c r="B701" s="7" t="s">
        <v>29</v>
      </c>
      <c r="C701" s="7" t="str">
        <f>VLOOKUP(B701,Indice!$B$1:$C$22,2,0)</f>
        <v>ESA</v>
      </c>
      <c r="D701" s="7" t="str">
        <f>$A701&amp;"-"&amp;$C701&amp;"-"&amp;TEXT(COUNTIFS($A$2:$A701,$A701,$C$2:$C701,$C701),"000")</f>
        <v>F2-ESA-027</v>
      </c>
      <c r="E701" s="7" t="s">
        <v>751</v>
      </c>
      <c r="F701" s="7" t="s">
        <v>738</v>
      </c>
      <c r="G701" s="7" t="s">
        <v>3</v>
      </c>
    </row>
    <row r="702" spans="1:7">
      <c r="A702" s="7" t="s">
        <v>503</v>
      </c>
      <c r="B702" s="7" t="s">
        <v>29</v>
      </c>
      <c r="C702" s="7" t="str">
        <f>VLOOKUP(B702,Indice!$B$1:$C$22,2,0)</f>
        <v>ESA</v>
      </c>
      <c r="D702" s="7" t="str">
        <f>$A702&amp;"-"&amp;$C702&amp;"-"&amp;TEXT(COUNTIFS($A$2:$A702,$A702,$C$2:$C702,$C702),"000")</f>
        <v>F2-ESA-028</v>
      </c>
      <c r="E702" s="7" t="s">
        <v>752</v>
      </c>
      <c r="F702" s="7" t="s">
        <v>727</v>
      </c>
      <c r="G702" s="7" t="s">
        <v>3</v>
      </c>
    </row>
    <row r="703" spans="1:7">
      <c r="A703" s="7" t="s">
        <v>503</v>
      </c>
      <c r="B703" s="7" t="s">
        <v>29</v>
      </c>
      <c r="C703" s="7" t="str">
        <f>VLOOKUP(B703,Indice!$B$1:$C$22,2,0)</f>
        <v>ESA</v>
      </c>
      <c r="D703" s="7" t="str">
        <f>$A703&amp;"-"&amp;$C703&amp;"-"&amp;TEXT(COUNTIFS($A$2:$A703,$A703,$C$2:$C703,$C703),"000")</f>
        <v>F2-ESA-029</v>
      </c>
      <c r="E703" s="7" t="s">
        <v>753</v>
      </c>
      <c r="F703" s="7" t="s">
        <v>727</v>
      </c>
      <c r="G703" s="7" t="s">
        <v>3</v>
      </c>
    </row>
    <row r="704" spans="1:7">
      <c r="A704" s="7" t="s">
        <v>503</v>
      </c>
      <c r="B704" s="7" t="s">
        <v>29</v>
      </c>
      <c r="C704" s="7" t="str">
        <f>VLOOKUP(B704,Indice!$B$1:$C$22,2,0)</f>
        <v>ESA</v>
      </c>
      <c r="D704" s="7" t="str">
        <f>$A704&amp;"-"&amp;$C704&amp;"-"&amp;TEXT(COUNTIFS($A$2:$A704,$A704,$C$2:$C704,$C704),"000")</f>
        <v>F2-ESA-030</v>
      </c>
      <c r="E704" s="7" t="s">
        <v>754</v>
      </c>
      <c r="F704" s="7" t="s">
        <v>727</v>
      </c>
      <c r="G704" s="7" t="s">
        <v>3</v>
      </c>
    </row>
    <row r="705" spans="1:7">
      <c r="A705" s="7" t="s">
        <v>503</v>
      </c>
      <c r="B705" s="7" t="s">
        <v>29</v>
      </c>
      <c r="C705" s="7" t="str">
        <f>VLOOKUP(B705,Indice!$B$1:$C$22,2,0)</f>
        <v>ESA</v>
      </c>
      <c r="D705" s="7" t="str">
        <f>$A705&amp;"-"&amp;$C705&amp;"-"&amp;TEXT(COUNTIFS($A$2:$A705,$A705,$C$2:$C705,$C705),"000")</f>
        <v>F2-ESA-031</v>
      </c>
      <c r="E705" s="7" t="s">
        <v>755</v>
      </c>
      <c r="F705" s="7" t="s">
        <v>727</v>
      </c>
      <c r="G705" s="7" t="s">
        <v>3</v>
      </c>
    </row>
    <row r="706" spans="1:7">
      <c r="A706" s="7" t="s">
        <v>503</v>
      </c>
      <c r="B706" s="7" t="s">
        <v>29</v>
      </c>
      <c r="C706" s="7" t="str">
        <f>VLOOKUP(B706,Indice!$B$1:$C$22,2,0)</f>
        <v>ESA</v>
      </c>
      <c r="D706" s="7" t="str">
        <f>$A706&amp;"-"&amp;$C706&amp;"-"&amp;TEXT(COUNTIFS($A$2:$A706,$A706,$C$2:$C706,$C706),"000")</f>
        <v>F2-ESA-032</v>
      </c>
      <c r="E706" s="7" t="s">
        <v>756</v>
      </c>
      <c r="F706" s="7" t="s">
        <v>727</v>
      </c>
      <c r="G706" s="7" t="s">
        <v>3</v>
      </c>
    </row>
    <row r="707" spans="1:7">
      <c r="A707" s="7" t="s">
        <v>503</v>
      </c>
      <c r="B707" s="7" t="s">
        <v>29</v>
      </c>
      <c r="C707" s="7" t="str">
        <f>VLOOKUP(B707,Indice!$B$1:$C$22,2,0)</f>
        <v>ESA</v>
      </c>
      <c r="D707" s="7" t="str">
        <f>$A707&amp;"-"&amp;$C707&amp;"-"&amp;TEXT(COUNTIFS($A$2:$A707,$A707,$C$2:$C707,$C707),"000")</f>
        <v>F2-ESA-033</v>
      </c>
      <c r="E707" s="7" t="s">
        <v>757</v>
      </c>
      <c r="F707" s="7" t="s">
        <v>727</v>
      </c>
      <c r="G707" s="7" t="s">
        <v>3</v>
      </c>
    </row>
    <row r="708" spans="1:7">
      <c r="A708" s="7" t="s">
        <v>503</v>
      </c>
      <c r="B708" s="7" t="s">
        <v>29</v>
      </c>
      <c r="C708" s="7" t="str">
        <f>VLOOKUP(B708,Indice!$B$1:$C$22,2,0)</f>
        <v>ESA</v>
      </c>
      <c r="D708" s="7" t="str">
        <f>$A708&amp;"-"&amp;$C708&amp;"-"&amp;TEXT(COUNTIFS($A$2:$A708,$A708,$C$2:$C708,$C708),"000")</f>
        <v>F2-ESA-034</v>
      </c>
      <c r="E708" s="7" t="s">
        <v>758</v>
      </c>
      <c r="F708" s="7" t="s">
        <v>727</v>
      </c>
      <c r="G708" s="7" t="s">
        <v>3</v>
      </c>
    </row>
    <row r="709" spans="1:7">
      <c r="A709" s="7" t="s">
        <v>503</v>
      </c>
      <c r="B709" s="7" t="s">
        <v>29</v>
      </c>
      <c r="C709" s="7" t="str">
        <f>VLOOKUP(B709,Indice!$B$1:$C$22,2,0)</f>
        <v>ESA</v>
      </c>
      <c r="D709" s="7" t="str">
        <f>$A709&amp;"-"&amp;$C709&amp;"-"&amp;TEXT(COUNTIFS($A$2:$A709,$A709,$C$2:$C709,$C709),"000")</f>
        <v>F2-ESA-035</v>
      </c>
      <c r="E709" s="7" t="s">
        <v>759</v>
      </c>
      <c r="F709" s="7" t="s">
        <v>727</v>
      </c>
      <c r="G709" s="7" t="s">
        <v>3</v>
      </c>
    </row>
    <row r="710" spans="1:7">
      <c r="A710" s="7" t="s">
        <v>503</v>
      </c>
      <c r="B710" s="7" t="s">
        <v>29</v>
      </c>
      <c r="C710" s="7" t="str">
        <f>VLOOKUP(B710,Indice!$B$1:$C$22,2,0)</f>
        <v>ESA</v>
      </c>
      <c r="D710" s="7" t="str">
        <f>$A710&amp;"-"&amp;$C710&amp;"-"&amp;TEXT(COUNTIFS($A$2:$A710,$A710,$C$2:$C710,$C710),"000")</f>
        <v>F2-ESA-036</v>
      </c>
      <c r="E710" s="7" t="s">
        <v>760</v>
      </c>
      <c r="F710" s="7" t="s">
        <v>727</v>
      </c>
      <c r="G710" s="7" t="s">
        <v>3</v>
      </c>
    </row>
    <row r="711" spans="1:7">
      <c r="A711" s="7" t="s">
        <v>503</v>
      </c>
      <c r="B711" s="7" t="s">
        <v>29</v>
      </c>
      <c r="C711" s="7" t="str">
        <f>VLOOKUP(B711,Indice!$B$1:$C$22,2,0)</f>
        <v>ESA</v>
      </c>
      <c r="D711" s="7" t="str">
        <f>$A711&amp;"-"&amp;$C711&amp;"-"&amp;TEXT(COUNTIFS($A$2:$A711,$A711,$C$2:$C711,$C711),"000")</f>
        <v>F2-ESA-037</v>
      </c>
      <c r="E711" s="7" t="s">
        <v>761</v>
      </c>
      <c r="F711" s="7" t="s">
        <v>727</v>
      </c>
      <c r="G711" s="7" t="s">
        <v>3</v>
      </c>
    </row>
    <row r="712" spans="1:7">
      <c r="A712" s="7" t="s">
        <v>503</v>
      </c>
      <c r="B712" s="7" t="s">
        <v>29</v>
      </c>
      <c r="C712" s="7" t="str">
        <f>VLOOKUP(B712,Indice!$B$1:$C$22,2,0)</f>
        <v>ESA</v>
      </c>
      <c r="D712" s="7" t="str">
        <f>$A712&amp;"-"&amp;$C712&amp;"-"&amp;TEXT(COUNTIFS($A$2:$A712,$A712,$C$2:$C712,$C712),"000")</f>
        <v>F2-ESA-038</v>
      </c>
      <c r="E712" s="7" t="s">
        <v>762</v>
      </c>
      <c r="F712" s="7" t="s">
        <v>727</v>
      </c>
      <c r="G712" s="7" t="s">
        <v>3</v>
      </c>
    </row>
    <row r="713" spans="1:7">
      <c r="A713" s="7" t="s">
        <v>503</v>
      </c>
      <c r="B713" s="7" t="s">
        <v>29</v>
      </c>
      <c r="C713" s="7" t="str">
        <f>VLOOKUP(B713,Indice!$B$1:$C$22,2,0)</f>
        <v>ESA</v>
      </c>
      <c r="D713" s="7" t="str">
        <f>$A713&amp;"-"&amp;$C713&amp;"-"&amp;TEXT(COUNTIFS($A$2:$A713,$A713,$C$2:$C713,$C713),"000")</f>
        <v>F2-ESA-039</v>
      </c>
      <c r="E713" s="7" t="s">
        <v>763</v>
      </c>
      <c r="F713" s="7" t="s">
        <v>735</v>
      </c>
      <c r="G713" s="7" t="s">
        <v>3</v>
      </c>
    </row>
    <row r="714" spans="1:7">
      <c r="A714" s="7" t="s">
        <v>503</v>
      </c>
      <c r="B714" s="7" t="s">
        <v>29</v>
      </c>
      <c r="C714" s="7" t="str">
        <f>VLOOKUP(B714,Indice!$B$1:$C$22,2,0)</f>
        <v>ESA</v>
      </c>
      <c r="D714" s="7" t="str">
        <f>$A714&amp;"-"&amp;$C714&amp;"-"&amp;TEXT(COUNTIFS($A$2:$A714,$A714,$C$2:$C714,$C714),"000")</f>
        <v>F2-ESA-040</v>
      </c>
      <c r="E714" s="7" t="s">
        <v>764</v>
      </c>
      <c r="F714" s="7" t="s">
        <v>735</v>
      </c>
      <c r="G714" s="7" t="s">
        <v>3</v>
      </c>
    </row>
    <row r="715" spans="1:7">
      <c r="A715" s="7" t="s">
        <v>503</v>
      </c>
      <c r="B715" s="7" t="s">
        <v>31</v>
      </c>
      <c r="C715" s="7" t="str">
        <f>VLOOKUP(B715,Indice!$B$1:$C$22,2,0)</f>
        <v>INPE</v>
      </c>
      <c r="D715" s="7" t="str">
        <f>$A715&amp;"-"&amp;$C715&amp;"-"&amp;TEXT(COUNTIFS($A$2:$A715,$A715,$C$2:$C715,$C715),"000")</f>
        <v>F2-INPE-001</v>
      </c>
      <c r="E715" s="7" t="s">
        <v>765</v>
      </c>
      <c r="F715" s="7" t="s">
        <v>766</v>
      </c>
      <c r="G715" s="7" t="s">
        <v>4</v>
      </c>
    </row>
    <row r="716" spans="1:7">
      <c r="A716" s="7" t="s">
        <v>503</v>
      </c>
      <c r="B716" s="7" t="s">
        <v>31</v>
      </c>
      <c r="C716" s="7" t="str">
        <f>VLOOKUP(B716,Indice!$B$1:$C$22,2,0)</f>
        <v>INPE</v>
      </c>
      <c r="D716" s="7" t="str">
        <f>$A716&amp;"-"&amp;$C716&amp;"-"&amp;TEXT(COUNTIFS($A$2:$A716,$A716,$C$2:$C716,$C716),"000")</f>
        <v>F2-INPE-002</v>
      </c>
      <c r="E716" s="7" t="s">
        <v>767</v>
      </c>
      <c r="F716" s="7" t="s">
        <v>766</v>
      </c>
      <c r="G716" s="7" t="s">
        <v>4</v>
      </c>
    </row>
    <row r="717" spans="1:7">
      <c r="A717" s="7" t="s">
        <v>503</v>
      </c>
      <c r="B717" s="7" t="s">
        <v>31</v>
      </c>
      <c r="C717" s="7" t="str">
        <f>VLOOKUP(B717,Indice!$B$1:$C$22,2,0)</f>
        <v>INPE</v>
      </c>
      <c r="D717" s="7" t="str">
        <f>$A717&amp;"-"&amp;$C717&amp;"-"&amp;TEXT(COUNTIFS($A$2:$A717,$A717,$C$2:$C717,$C717),"000")</f>
        <v>F2-INPE-003</v>
      </c>
      <c r="E717" s="7" t="s">
        <v>768</v>
      </c>
      <c r="F717" s="7" t="s">
        <v>766</v>
      </c>
      <c r="G717" s="7" t="s">
        <v>4</v>
      </c>
    </row>
    <row r="718" spans="1:7">
      <c r="A718" s="7" t="s">
        <v>503</v>
      </c>
      <c r="B718" s="7" t="s">
        <v>31</v>
      </c>
      <c r="C718" s="7" t="str">
        <f>VLOOKUP(B718,Indice!$B$1:$C$22,2,0)</f>
        <v>INPE</v>
      </c>
      <c r="D718" s="7" t="str">
        <f>$A718&amp;"-"&amp;$C718&amp;"-"&amp;TEXT(COUNTIFS($A$2:$A718,$A718,$C$2:$C718,$C718),"000")</f>
        <v>F2-INPE-004</v>
      </c>
      <c r="E718" s="7" t="s">
        <v>769</v>
      </c>
      <c r="F718" s="7" t="s">
        <v>766</v>
      </c>
      <c r="G718" s="7" t="s">
        <v>4</v>
      </c>
    </row>
    <row r="719" spans="1:7">
      <c r="A719" s="7" t="s">
        <v>503</v>
      </c>
      <c r="B719" s="7" t="s">
        <v>31</v>
      </c>
      <c r="C719" s="7" t="str">
        <f>VLOOKUP(B719,Indice!$B$1:$C$22,2,0)</f>
        <v>INPE</v>
      </c>
      <c r="D719" s="7" t="str">
        <f>$A719&amp;"-"&amp;$C719&amp;"-"&amp;TEXT(COUNTIFS($A$2:$A719,$A719,$C$2:$C719,$C719),"000")</f>
        <v>F2-INPE-005</v>
      </c>
      <c r="E719" s="7" t="s">
        <v>770</v>
      </c>
      <c r="F719" s="7" t="s">
        <v>766</v>
      </c>
      <c r="G719" s="7" t="s">
        <v>4</v>
      </c>
    </row>
    <row r="720" spans="1:7">
      <c r="A720" s="7" t="s">
        <v>503</v>
      </c>
      <c r="B720" s="7" t="s">
        <v>31</v>
      </c>
      <c r="C720" s="7" t="str">
        <f>VLOOKUP(B720,Indice!$B$1:$C$22,2,0)</f>
        <v>INPE</v>
      </c>
      <c r="D720" s="7" t="str">
        <f>$A720&amp;"-"&amp;$C720&amp;"-"&amp;TEXT(COUNTIFS($A$2:$A720,$A720,$C$2:$C720,$C720),"000")</f>
        <v>F2-INPE-006</v>
      </c>
      <c r="E720" s="7" t="s">
        <v>771</v>
      </c>
      <c r="F720" s="7" t="s">
        <v>766</v>
      </c>
      <c r="G720" s="7" t="s">
        <v>4</v>
      </c>
    </row>
    <row r="721" spans="1:7">
      <c r="A721" s="7" t="s">
        <v>503</v>
      </c>
      <c r="B721" s="7" t="s">
        <v>31</v>
      </c>
      <c r="C721" s="7" t="str">
        <f>VLOOKUP(B721,Indice!$B$1:$C$22,2,0)</f>
        <v>INPE</v>
      </c>
      <c r="D721" s="7" t="str">
        <f>$A721&amp;"-"&amp;$C721&amp;"-"&amp;TEXT(COUNTIFS($A$2:$A721,$A721,$C$2:$C721,$C721),"000")</f>
        <v>F2-INPE-007</v>
      </c>
      <c r="E721" s="7" t="s">
        <v>772</v>
      </c>
      <c r="F721" s="7" t="s">
        <v>766</v>
      </c>
      <c r="G721" s="7" t="s">
        <v>4</v>
      </c>
    </row>
    <row r="722" spans="1:7">
      <c r="A722" s="7" t="s">
        <v>503</v>
      </c>
      <c r="B722" s="7" t="s">
        <v>31</v>
      </c>
      <c r="C722" s="7" t="str">
        <f>VLOOKUP(B722,Indice!$B$1:$C$22,2,0)</f>
        <v>INPE</v>
      </c>
      <c r="D722" s="7" t="str">
        <f>$A722&amp;"-"&amp;$C722&amp;"-"&amp;TEXT(COUNTIFS($A$2:$A722,$A722,$C$2:$C722,$C722),"000")</f>
        <v>F2-INPE-008</v>
      </c>
      <c r="E722" s="7" t="s">
        <v>773</v>
      </c>
      <c r="F722" s="7" t="s">
        <v>766</v>
      </c>
      <c r="G722" s="7" t="s">
        <v>4</v>
      </c>
    </row>
    <row r="723" spans="1:7">
      <c r="A723" s="7" t="s">
        <v>503</v>
      </c>
      <c r="B723" s="7" t="s">
        <v>31</v>
      </c>
      <c r="C723" s="7" t="str">
        <f>VLOOKUP(B723,Indice!$B$1:$C$22,2,0)</f>
        <v>INPE</v>
      </c>
      <c r="D723" s="7" t="str">
        <f>$A723&amp;"-"&amp;$C723&amp;"-"&amp;TEXT(COUNTIFS($A$2:$A723,$A723,$C$2:$C723,$C723),"000")</f>
        <v>F2-INPE-009</v>
      </c>
      <c r="E723" s="7" t="s">
        <v>774</v>
      </c>
      <c r="F723" s="7" t="s">
        <v>766</v>
      </c>
      <c r="G723" s="7" t="s">
        <v>4</v>
      </c>
    </row>
    <row r="724" spans="1:7">
      <c r="A724" s="7" t="s">
        <v>503</v>
      </c>
      <c r="B724" s="7" t="s">
        <v>31</v>
      </c>
      <c r="C724" s="7" t="str">
        <f>VLOOKUP(B724,Indice!$B$1:$C$22,2,0)</f>
        <v>INPE</v>
      </c>
      <c r="D724" s="7" t="str">
        <f>$A724&amp;"-"&amp;$C724&amp;"-"&amp;TEXT(COUNTIFS($A$2:$A724,$A724,$C$2:$C724,$C724),"000")</f>
        <v>F2-INPE-010</v>
      </c>
      <c r="E724" s="7" t="s">
        <v>775</v>
      </c>
      <c r="F724" s="7" t="s">
        <v>766</v>
      </c>
      <c r="G724" s="7" t="s">
        <v>4</v>
      </c>
    </row>
    <row r="725" spans="1:7">
      <c r="A725" s="7" t="s">
        <v>503</v>
      </c>
      <c r="B725" s="7" t="s">
        <v>31</v>
      </c>
      <c r="C725" s="7" t="str">
        <f>VLOOKUP(B725,Indice!$B$1:$C$22,2,0)</f>
        <v>INPE</v>
      </c>
      <c r="D725" s="7" t="str">
        <f>$A725&amp;"-"&amp;$C725&amp;"-"&amp;TEXT(COUNTIFS($A$2:$A725,$A725,$C$2:$C725,$C725),"000")</f>
        <v>F2-INPE-011</v>
      </c>
      <c r="E725" s="7" t="s">
        <v>776</v>
      </c>
      <c r="F725" s="7" t="s">
        <v>766</v>
      </c>
      <c r="G725" s="7" t="s">
        <v>4</v>
      </c>
    </row>
    <row r="726" spans="1:7">
      <c r="A726" s="7" t="s">
        <v>503</v>
      </c>
      <c r="B726" s="7" t="s">
        <v>31</v>
      </c>
      <c r="C726" s="7" t="str">
        <f>VLOOKUP(B726,Indice!$B$1:$C$22,2,0)</f>
        <v>INPE</v>
      </c>
      <c r="D726" s="7" t="str">
        <f>$A726&amp;"-"&amp;$C726&amp;"-"&amp;TEXT(COUNTIFS($A$2:$A726,$A726,$C$2:$C726,$C726),"000")</f>
        <v>F2-INPE-012</v>
      </c>
      <c r="E726" s="7" t="s">
        <v>777</v>
      </c>
      <c r="F726" s="7" t="s">
        <v>766</v>
      </c>
      <c r="G726" s="7" t="s">
        <v>4</v>
      </c>
    </row>
    <row r="727" spans="1:7">
      <c r="A727" s="7" t="s">
        <v>503</v>
      </c>
      <c r="B727" s="7" t="s">
        <v>31</v>
      </c>
      <c r="C727" s="7" t="str">
        <f>VLOOKUP(B727,Indice!$B$1:$C$22,2,0)</f>
        <v>INPE</v>
      </c>
      <c r="D727" s="7" t="str">
        <f>$A727&amp;"-"&amp;$C727&amp;"-"&amp;TEXT(COUNTIFS($A$2:$A727,$A727,$C$2:$C727,$C727),"000")</f>
        <v>F2-INPE-013</v>
      </c>
      <c r="E727" s="7" t="s">
        <v>778</v>
      </c>
      <c r="F727" s="7" t="s">
        <v>766</v>
      </c>
      <c r="G727" s="7" t="s">
        <v>4</v>
      </c>
    </row>
    <row r="728" spans="1:7">
      <c r="A728" s="7" t="s">
        <v>503</v>
      </c>
      <c r="B728" s="7" t="s">
        <v>31</v>
      </c>
      <c r="C728" s="7" t="str">
        <f>VLOOKUP(B728,Indice!$B$1:$C$22,2,0)</f>
        <v>INPE</v>
      </c>
      <c r="D728" s="7" t="str">
        <f>$A728&amp;"-"&amp;$C728&amp;"-"&amp;TEXT(COUNTIFS($A$2:$A728,$A728,$C$2:$C728,$C728),"000")</f>
        <v>F2-INPE-014</v>
      </c>
      <c r="E728" s="7" t="s">
        <v>779</v>
      </c>
      <c r="F728" s="7" t="s">
        <v>766</v>
      </c>
      <c r="G728" s="7" t="s">
        <v>4</v>
      </c>
    </row>
    <row r="729" spans="1:7">
      <c r="A729" s="7" t="s">
        <v>503</v>
      </c>
      <c r="B729" s="7" t="s">
        <v>31</v>
      </c>
      <c r="C729" s="7" t="str">
        <f>VLOOKUP(B729,Indice!$B$1:$C$22,2,0)</f>
        <v>INPE</v>
      </c>
      <c r="D729" s="7" t="str">
        <f>$A729&amp;"-"&amp;$C729&amp;"-"&amp;TEXT(COUNTIFS($A$2:$A729,$A729,$C$2:$C729,$C729),"000")</f>
        <v>F2-INPE-015</v>
      </c>
      <c r="E729" s="7" t="s">
        <v>780</v>
      </c>
      <c r="F729" s="7" t="s">
        <v>766</v>
      </c>
      <c r="G729" s="7" t="s">
        <v>4</v>
      </c>
    </row>
    <row r="730" spans="1:7">
      <c r="A730" s="7" t="s">
        <v>503</v>
      </c>
      <c r="B730" s="7" t="s">
        <v>31</v>
      </c>
      <c r="C730" s="7" t="str">
        <f>VLOOKUP(B730,Indice!$B$1:$C$22,2,0)</f>
        <v>INPE</v>
      </c>
      <c r="D730" s="7" t="str">
        <f>$A730&amp;"-"&amp;$C730&amp;"-"&amp;TEXT(COUNTIFS($A$2:$A730,$A730,$C$2:$C730,$C730),"000")</f>
        <v>F2-INPE-016</v>
      </c>
      <c r="E730" s="7" t="s">
        <v>781</v>
      </c>
      <c r="F730" s="7" t="s">
        <v>766</v>
      </c>
      <c r="G730" s="7" t="s">
        <v>4</v>
      </c>
    </row>
    <row r="731" spans="1:7">
      <c r="A731" s="7" t="s">
        <v>503</v>
      </c>
      <c r="B731" s="7" t="s">
        <v>31</v>
      </c>
      <c r="C731" s="7" t="str">
        <f>VLOOKUP(B731,Indice!$B$1:$C$22,2,0)</f>
        <v>INPE</v>
      </c>
      <c r="D731" s="7" t="str">
        <f>$A731&amp;"-"&amp;$C731&amp;"-"&amp;TEXT(COUNTIFS($A$2:$A731,$A731,$C$2:$C731,$C731),"000")</f>
        <v>F2-INPE-017</v>
      </c>
      <c r="E731" s="7" t="s">
        <v>782</v>
      </c>
      <c r="F731" s="7" t="s">
        <v>766</v>
      </c>
      <c r="G731" s="7" t="s">
        <v>4</v>
      </c>
    </row>
    <row r="732" spans="1:7">
      <c r="A732" s="7" t="s">
        <v>503</v>
      </c>
      <c r="B732" s="7" t="s">
        <v>31</v>
      </c>
      <c r="C732" s="7" t="str">
        <f>VLOOKUP(B732,Indice!$B$1:$C$22,2,0)</f>
        <v>INPE</v>
      </c>
      <c r="D732" s="7" t="str">
        <f>$A732&amp;"-"&amp;$C732&amp;"-"&amp;TEXT(COUNTIFS($A$2:$A732,$A732,$C$2:$C732,$C732),"000")</f>
        <v>F2-INPE-018</v>
      </c>
      <c r="E732" s="7" t="s">
        <v>783</v>
      </c>
      <c r="F732" s="7" t="s">
        <v>766</v>
      </c>
      <c r="G732" s="7" t="s">
        <v>4</v>
      </c>
    </row>
    <row r="733" spans="1:7">
      <c r="A733" s="7" t="s">
        <v>503</v>
      </c>
      <c r="B733" s="7" t="s">
        <v>31</v>
      </c>
      <c r="C733" s="7" t="str">
        <f>VLOOKUP(B733,Indice!$B$1:$C$22,2,0)</f>
        <v>INPE</v>
      </c>
      <c r="D733" s="7" t="str">
        <f>$A733&amp;"-"&amp;$C733&amp;"-"&amp;TEXT(COUNTIFS($A$2:$A733,$A733,$C$2:$C733,$C733),"000")</f>
        <v>F2-INPE-019</v>
      </c>
      <c r="E733" s="7" t="s">
        <v>784</v>
      </c>
      <c r="F733" s="7" t="s">
        <v>766</v>
      </c>
      <c r="G733" s="7" t="s">
        <v>4</v>
      </c>
    </row>
    <row r="734" spans="1:7">
      <c r="A734" s="7" t="s">
        <v>503</v>
      </c>
      <c r="B734" s="7" t="s">
        <v>31</v>
      </c>
      <c r="C734" s="7" t="str">
        <f>VLOOKUP(B734,Indice!$B$1:$C$22,2,0)</f>
        <v>INPE</v>
      </c>
      <c r="D734" s="7" t="str">
        <f>$A734&amp;"-"&amp;$C734&amp;"-"&amp;TEXT(COUNTIFS($A$2:$A734,$A734,$C$2:$C734,$C734),"000")</f>
        <v>F2-INPE-020</v>
      </c>
      <c r="E734" s="7" t="s">
        <v>785</v>
      </c>
      <c r="F734" s="7" t="s">
        <v>766</v>
      </c>
      <c r="G734" s="7" t="s">
        <v>4</v>
      </c>
    </row>
    <row r="735" spans="1:7">
      <c r="A735" s="7" t="s">
        <v>503</v>
      </c>
      <c r="B735" s="7" t="s">
        <v>31</v>
      </c>
      <c r="C735" s="7" t="str">
        <f>VLOOKUP(B735,Indice!$B$1:$C$22,2,0)</f>
        <v>INPE</v>
      </c>
      <c r="D735" s="7" t="str">
        <f>$A735&amp;"-"&amp;$C735&amp;"-"&amp;TEXT(COUNTIFS($A$2:$A735,$A735,$C$2:$C735,$C735),"000")</f>
        <v>F2-INPE-021</v>
      </c>
      <c r="E735" s="7" t="s">
        <v>786</v>
      </c>
      <c r="F735" s="7" t="s">
        <v>766</v>
      </c>
      <c r="G735" s="7" t="s">
        <v>4</v>
      </c>
    </row>
    <row r="736" spans="1:7">
      <c r="A736" s="7" t="s">
        <v>503</v>
      </c>
      <c r="B736" s="7" t="s">
        <v>31</v>
      </c>
      <c r="C736" s="7" t="str">
        <f>VLOOKUP(B736,Indice!$B$1:$C$22,2,0)</f>
        <v>INPE</v>
      </c>
      <c r="D736" s="7" t="str">
        <f>$A736&amp;"-"&amp;$C736&amp;"-"&amp;TEXT(COUNTIFS($A$2:$A736,$A736,$C$2:$C736,$C736),"000")</f>
        <v>F2-INPE-022</v>
      </c>
      <c r="E736" s="7" t="s">
        <v>787</v>
      </c>
      <c r="F736" s="7" t="s">
        <v>766</v>
      </c>
      <c r="G736" s="7" t="s">
        <v>4</v>
      </c>
    </row>
    <row r="737" spans="1:7">
      <c r="A737" s="7" t="s">
        <v>503</v>
      </c>
      <c r="B737" s="7" t="s">
        <v>31</v>
      </c>
      <c r="C737" s="7" t="str">
        <f>VLOOKUP(B737,Indice!$B$1:$C$22,2,0)</f>
        <v>INPE</v>
      </c>
      <c r="D737" s="7" t="str">
        <f>$A737&amp;"-"&amp;$C737&amp;"-"&amp;TEXT(COUNTIFS($A$2:$A737,$A737,$C$2:$C737,$C737),"000")</f>
        <v>F2-INPE-023</v>
      </c>
      <c r="E737" s="7" t="s">
        <v>788</v>
      </c>
      <c r="F737" s="7" t="s">
        <v>766</v>
      </c>
      <c r="G737" s="7" t="s">
        <v>4</v>
      </c>
    </row>
    <row r="738" spans="1:7">
      <c r="A738" s="7" t="s">
        <v>503</v>
      </c>
      <c r="B738" s="7" t="s">
        <v>31</v>
      </c>
      <c r="C738" s="7" t="str">
        <f>VLOOKUP(B738,Indice!$B$1:$C$22,2,0)</f>
        <v>INPE</v>
      </c>
      <c r="D738" s="7" t="str">
        <f>$A738&amp;"-"&amp;$C738&amp;"-"&amp;TEXT(COUNTIFS($A$2:$A738,$A738,$C$2:$C738,$C738),"000")</f>
        <v>F2-INPE-024</v>
      </c>
      <c r="E738" s="7" t="s">
        <v>789</v>
      </c>
      <c r="F738" s="7" t="s">
        <v>766</v>
      </c>
      <c r="G738" s="7" t="s">
        <v>4</v>
      </c>
    </row>
    <row r="739" spans="1:7">
      <c r="A739" s="7" t="s">
        <v>503</v>
      </c>
      <c r="B739" s="7" t="s">
        <v>31</v>
      </c>
      <c r="C739" s="7" t="str">
        <f>VLOOKUP(B739,Indice!$B$1:$C$22,2,0)</f>
        <v>INPE</v>
      </c>
      <c r="D739" s="7" t="str">
        <f>$A739&amp;"-"&amp;$C739&amp;"-"&amp;TEXT(COUNTIFS($A$2:$A739,$A739,$C$2:$C739,$C739),"000")</f>
        <v>F2-INPE-025</v>
      </c>
      <c r="E739" s="7" t="s">
        <v>790</v>
      </c>
      <c r="F739" s="7" t="s">
        <v>766</v>
      </c>
      <c r="G739" s="7" t="s">
        <v>4</v>
      </c>
    </row>
    <row r="740" spans="1:7">
      <c r="A740" s="7" t="s">
        <v>503</v>
      </c>
      <c r="B740" s="7" t="s">
        <v>31</v>
      </c>
      <c r="C740" s="7" t="str">
        <f>VLOOKUP(B740,Indice!$B$1:$C$22,2,0)</f>
        <v>INPE</v>
      </c>
      <c r="D740" s="7" t="str">
        <f>$A740&amp;"-"&amp;$C740&amp;"-"&amp;TEXT(COUNTIFS($A$2:$A740,$A740,$C$2:$C740,$C740),"000")</f>
        <v>F2-INPE-026</v>
      </c>
      <c r="E740" s="7" t="s">
        <v>791</v>
      </c>
      <c r="F740" s="7" t="s">
        <v>766</v>
      </c>
      <c r="G740" s="7" t="s">
        <v>4</v>
      </c>
    </row>
    <row r="741" spans="1:7">
      <c r="A741" s="7" t="s">
        <v>503</v>
      </c>
      <c r="B741" s="7" t="s">
        <v>31</v>
      </c>
      <c r="C741" s="7" t="str">
        <f>VLOOKUP(B741,Indice!$B$1:$C$22,2,0)</f>
        <v>INPE</v>
      </c>
      <c r="D741" s="7" t="str">
        <f>$A741&amp;"-"&amp;$C741&amp;"-"&amp;TEXT(COUNTIFS($A$2:$A741,$A741,$C$2:$C741,$C741),"000")</f>
        <v>F2-INPE-027</v>
      </c>
      <c r="E741" s="7" t="s">
        <v>792</v>
      </c>
      <c r="F741" s="7" t="s">
        <v>766</v>
      </c>
      <c r="G741" s="7" t="s">
        <v>4</v>
      </c>
    </row>
    <row r="742" spans="1:7">
      <c r="A742" s="7" t="s">
        <v>503</v>
      </c>
      <c r="B742" s="7" t="s">
        <v>31</v>
      </c>
      <c r="C742" s="7" t="str">
        <f>VLOOKUP(B742,Indice!$B$1:$C$22,2,0)</f>
        <v>INPE</v>
      </c>
      <c r="D742" s="7" t="str">
        <f>$A742&amp;"-"&amp;$C742&amp;"-"&amp;TEXT(COUNTIFS($A$2:$A742,$A742,$C$2:$C742,$C742),"000")</f>
        <v>F2-INPE-028</v>
      </c>
      <c r="E742" s="7" t="s">
        <v>793</v>
      </c>
      <c r="F742" s="7" t="s">
        <v>766</v>
      </c>
      <c r="G742" s="7" t="s">
        <v>4</v>
      </c>
    </row>
    <row r="743" spans="1:7">
      <c r="A743" s="7" t="s">
        <v>503</v>
      </c>
      <c r="B743" s="7" t="s">
        <v>31</v>
      </c>
      <c r="C743" s="7" t="str">
        <f>VLOOKUP(B743,Indice!$B$1:$C$22,2,0)</f>
        <v>INPE</v>
      </c>
      <c r="D743" s="7" t="str">
        <f>$A743&amp;"-"&amp;$C743&amp;"-"&amp;TEXT(COUNTIFS($A$2:$A743,$A743,$C$2:$C743,$C743),"000")</f>
        <v>F2-INPE-029</v>
      </c>
      <c r="E743" s="7" t="s">
        <v>794</v>
      </c>
      <c r="F743" s="7" t="s">
        <v>766</v>
      </c>
      <c r="G743" s="7" t="s">
        <v>4</v>
      </c>
    </row>
    <row r="744" spans="1:7">
      <c r="A744" s="7" t="s">
        <v>503</v>
      </c>
      <c r="B744" s="7" t="s">
        <v>31</v>
      </c>
      <c r="C744" s="7" t="str">
        <f>VLOOKUP(B744,Indice!$B$1:$C$22,2,0)</f>
        <v>INPE</v>
      </c>
      <c r="D744" s="7" t="str">
        <f>$A744&amp;"-"&amp;$C744&amp;"-"&amp;TEXT(COUNTIFS($A$2:$A744,$A744,$C$2:$C744,$C744),"000")</f>
        <v>F2-INPE-030</v>
      </c>
      <c r="E744" s="7" t="s">
        <v>795</v>
      </c>
      <c r="F744" s="7" t="s">
        <v>766</v>
      </c>
      <c r="G744" s="7" t="s">
        <v>4</v>
      </c>
    </row>
    <row r="745" spans="1:7">
      <c r="A745" s="7" t="s">
        <v>503</v>
      </c>
      <c r="B745" s="7" t="s">
        <v>31</v>
      </c>
      <c r="C745" s="7" t="str">
        <f>VLOOKUP(B745,Indice!$B$1:$C$22,2,0)</f>
        <v>INPE</v>
      </c>
      <c r="D745" s="7" t="str">
        <f>$A745&amp;"-"&amp;$C745&amp;"-"&amp;TEXT(COUNTIFS($A$2:$A745,$A745,$C$2:$C745,$C745),"000")</f>
        <v>F2-INPE-031</v>
      </c>
      <c r="E745" s="7" t="s">
        <v>796</v>
      </c>
      <c r="F745" s="7" t="s">
        <v>766</v>
      </c>
      <c r="G745" s="7" t="s">
        <v>4</v>
      </c>
    </row>
    <row r="746" spans="1:7">
      <c r="A746" s="7" t="s">
        <v>503</v>
      </c>
      <c r="B746" s="7" t="s">
        <v>31</v>
      </c>
      <c r="C746" s="7" t="str">
        <f>VLOOKUP(B746,Indice!$B$1:$C$22,2,0)</f>
        <v>INPE</v>
      </c>
      <c r="D746" s="7" t="str">
        <f>$A746&amp;"-"&amp;$C746&amp;"-"&amp;TEXT(COUNTIFS($A$2:$A746,$A746,$C$2:$C746,$C746),"000")</f>
        <v>F2-INPE-032</v>
      </c>
      <c r="E746" s="7" t="s">
        <v>797</v>
      </c>
      <c r="F746" s="7" t="s">
        <v>766</v>
      </c>
      <c r="G746" s="7" t="s">
        <v>4</v>
      </c>
    </row>
    <row r="747" spans="1:7">
      <c r="A747" s="7" t="s">
        <v>503</v>
      </c>
      <c r="B747" s="7" t="s">
        <v>31</v>
      </c>
      <c r="C747" s="7" t="str">
        <f>VLOOKUP(B747,Indice!$B$1:$C$22,2,0)</f>
        <v>INPE</v>
      </c>
      <c r="D747" s="7" t="str">
        <f>$A747&amp;"-"&amp;$C747&amp;"-"&amp;TEXT(COUNTIFS($A$2:$A747,$A747,$C$2:$C747,$C747),"000")</f>
        <v>F2-INPE-033</v>
      </c>
      <c r="E747" s="7" t="s">
        <v>798</v>
      </c>
      <c r="F747" s="7" t="s">
        <v>766</v>
      </c>
      <c r="G747" s="7" t="s">
        <v>4</v>
      </c>
    </row>
    <row r="748" spans="1:7">
      <c r="A748" s="7" t="s">
        <v>503</v>
      </c>
      <c r="B748" s="7" t="s">
        <v>31</v>
      </c>
      <c r="C748" s="7" t="str">
        <f>VLOOKUP(B748,Indice!$B$1:$C$22,2,0)</f>
        <v>INPE</v>
      </c>
      <c r="D748" s="7" t="str">
        <f>$A748&amp;"-"&amp;$C748&amp;"-"&amp;TEXT(COUNTIFS($A$2:$A748,$A748,$C$2:$C748,$C748),"000")</f>
        <v>F2-INPE-034</v>
      </c>
      <c r="E748" s="7" t="s">
        <v>799</v>
      </c>
      <c r="F748" s="7" t="s">
        <v>766</v>
      </c>
      <c r="G748" s="7" t="s">
        <v>4</v>
      </c>
    </row>
    <row r="749" spans="1:7">
      <c r="A749" s="7" t="s">
        <v>503</v>
      </c>
      <c r="B749" s="7" t="s">
        <v>31</v>
      </c>
      <c r="C749" s="7" t="str">
        <f>VLOOKUP(B749,Indice!$B$1:$C$22,2,0)</f>
        <v>INPE</v>
      </c>
      <c r="D749" s="7" t="str">
        <f>$A749&amp;"-"&amp;$C749&amp;"-"&amp;TEXT(COUNTIFS($A$2:$A749,$A749,$C$2:$C749,$C749),"000")</f>
        <v>F2-INPE-035</v>
      </c>
      <c r="E749" s="7" t="s">
        <v>800</v>
      </c>
      <c r="F749" s="7" t="s">
        <v>766</v>
      </c>
      <c r="G749" s="7" t="s">
        <v>4</v>
      </c>
    </row>
    <row r="750" spans="1:7">
      <c r="A750" s="7" t="s">
        <v>503</v>
      </c>
      <c r="B750" s="7" t="s">
        <v>31</v>
      </c>
      <c r="C750" s="7" t="str">
        <f>VLOOKUP(B750,Indice!$B$1:$C$22,2,0)</f>
        <v>INPE</v>
      </c>
      <c r="D750" s="7" t="str">
        <f>$A750&amp;"-"&amp;$C750&amp;"-"&amp;TEXT(COUNTIFS($A$2:$A750,$A750,$C$2:$C750,$C750),"000")</f>
        <v>F2-INPE-036</v>
      </c>
      <c r="E750" s="7" t="s">
        <v>801</v>
      </c>
      <c r="F750" s="7" t="s">
        <v>766</v>
      </c>
      <c r="G750" s="7" t="s">
        <v>4</v>
      </c>
    </row>
    <row r="751" spans="1:7">
      <c r="A751" s="7" t="s">
        <v>503</v>
      </c>
      <c r="B751" s="7" t="s">
        <v>31</v>
      </c>
      <c r="C751" s="7" t="str">
        <f>VLOOKUP(B751,Indice!$B$1:$C$22,2,0)</f>
        <v>INPE</v>
      </c>
      <c r="D751" s="7" t="str">
        <f>$A751&amp;"-"&amp;$C751&amp;"-"&amp;TEXT(COUNTIFS($A$2:$A751,$A751,$C$2:$C751,$C751),"000")</f>
        <v>F2-INPE-037</v>
      </c>
      <c r="E751" s="7" t="s">
        <v>802</v>
      </c>
      <c r="F751" s="7" t="s">
        <v>766</v>
      </c>
      <c r="G751" s="7" t="s">
        <v>4</v>
      </c>
    </row>
    <row r="752" spans="1:7">
      <c r="A752" s="7" t="s">
        <v>503</v>
      </c>
      <c r="B752" s="7" t="s">
        <v>31</v>
      </c>
      <c r="C752" s="7" t="str">
        <f>VLOOKUP(B752,Indice!$B$1:$C$22,2,0)</f>
        <v>INPE</v>
      </c>
      <c r="D752" s="7" t="str">
        <f>$A752&amp;"-"&amp;$C752&amp;"-"&amp;TEXT(COUNTIFS($A$2:$A752,$A752,$C$2:$C752,$C752),"000")</f>
        <v>F2-INPE-038</v>
      </c>
      <c r="E752" s="7" t="s">
        <v>803</v>
      </c>
      <c r="F752" s="7" t="s">
        <v>766</v>
      </c>
      <c r="G752" s="7" t="s">
        <v>4</v>
      </c>
    </row>
    <row r="753" spans="1:7">
      <c r="A753" s="7" t="s">
        <v>503</v>
      </c>
      <c r="B753" s="7" t="s">
        <v>31</v>
      </c>
      <c r="C753" s="7" t="str">
        <f>VLOOKUP(B753,Indice!$B$1:$C$22,2,0)</f>
        <v>INPE</v>
      </c>
      <c r="D753" s="7" t="str">
        <f>$A753&amp;"-"&amp;$C753&amp;"-"&amp;TEXT(COUNTIFS($A$2:$A753,$A753,$C$2:$C753,$C753),"000")</f>
        <v>F2-INPE-039</v>
      </c>
      <c r="E753" s="7" t="s">
        <v>804</v>
      </c>
      <c r="F753" s="7" t="s">
        <v>766</v>
      </c>
      <c r="G753" s="7" t="s">
        <v>4</v>
      </c>
    </row>
    <row r="754" spans="1:7">
      <c r="A754" s="7" t="s">
        <v>503</v>
      </c>
      <c r="B754" s="7" t="s">
        <v>31</v>
      </c>
      <c r="C754" s="7" t="str">
        <f>VLOOKUP(B754,Indice!$B$1:$C$22,2,0)</f>
        <v>INPE</v>
      </c>
      <c r="D754" s="7" t="str">
        <f>$A754&amp;"-"&amp;$C754&amp;"-"&amp;TEXT(COUNTIFS($A$2:$A754,$A754,$C$2:$C754,$C754),"000")</f>
        <v>F2-INPE-040</v>
      </c>
      <c r="E754" s="7" t="s">
        <v>805</v>
      </c>
      <c r="F754" s="7" t="s">
        <v>766</v>
      </c>
      <c r="G754" s="7" t="s">
        <v>4</v>
      </c>
    </row>
    <row r="755" spans="1:7">
      <c r="A755" s="7" t="s">
        <v>503</v>
      </c>
      <c r="B755" s="7" t="s">
        <v>31</v>
      </c>
      <c r="C755" s="7" t="str">
        <f>VLOOKUP(B755,Indice!$B$1:$C$22,2,0)</f>
        <v>INPE</v>
      </c>
      <c r="D755" s="7" t="str">
        <f>$A755&amp;"-"&amp;$C755&amp;"-"&amp;TEXT(COUNTIFS($A$2:$A755,$A755,$C$2:$C755,$C755),"000")</f>
        <v>F2-INPE-041</v>
      </c>
      <c r="E755" s="7" t="s">
        <v>806</v>
      </c>
      <c r="F755" s="7" t="s">
        <v>766</v>
      </c>
      <c r="G755" s="7" t="s">
        <v>4</v>
      </c>
    </row>
    <row r="756" spans="1:7">
      <c r="A756" s="7" t="s">
        <v>503</v>
      </c>
      <c r="B756" s="7" t="s">
        <v>31</v>
      </c>
      <c r="C756" s="7" t="str">
        <f>VLOOKUP(B756,Indice!$B$1:$C$22,2,0)</f>
        <v>INPE</v>
      </c>
      <c r="D756" s="7" t="str">
        <f>$A756&amp;"-"&amp;$C756&amp;"-"&amp;TEXT(COUNTIFS($A$2:$A756,$A756,$C$2:$C756,$C756),"000")</f>
        <v>F2-INPE-042</v>
      </c>
      <c r="E756" s="7" t="s">
        <v>807</v>
      </c>
      <c r="F756" s="7" t="s">
        <v>766</v>
      </c>
      <c r="G756" s="7" t="s">
        <v>4</v>
      </c>
    </row>
    <row r="757" spans="1:7">
      <c r="A757" s="7" t="s">
        <v>503</v>
      </c>
      <c r="B757" s="7" t="s">
        <v>31</v>
      </c>
      <c r="C757" s="7" t="str">
        <f>VLOOKUP(B757,Indice!$B$1:$C$22,2,0)</f>
        <v>INPE</v>
      </c>
      <c r="D757" s="7" t="str">
        <f>$A757&amp;"-"&amp;$C757&amp;"-"&amp;TEXT(COUNTIFS($A$2:$A757,$A757,$C$2:$C757,$C757),"000")</f>
        <v>F2-INPE-043</v>
      </c>
      <c r="E757" s="7" t="s">
        <v>808</v>
      </c>
      <c r="F757" s="7" t="s">
        <v>766</v>
      </c>
      <c r="G757" s="7" t="s">
        <v>4</v>
      </c>
    </row>
    <row r="758" spans="1:7">
      <c r="A758" s="7" t="s">
        <v>503</v>
      </c>
      <c r="B758" s="7" t="s">
        <v>31</v>
      </c>
      <c r="C758" s="7" t="str">
        <f>VLOOKUP(B758,Indice!$B$1:$C$22,2,0)</f>
        <v>INPE</v>
      </c>
      <c r="D758" s="7" t="str">
        <f>$A758&amp;"-"&amp;$C758&amp;"-"&amp;TEXT(COUNTIFS($A$2:$A758,$A758,$C$2:$C758,$C758),"000")</f>
        <v>F2-INPE-044</v>
      </c>
      <c r="E758" s="7" t="s">
        <v>809</v>
      </c>
      <c r="F758" s="7" t="s">
        <v>766</v>
      </c>
      <c r="G758" s="7" t="s">
        <v>4</v>
      </c>
    </row>
    <row r="759" spans="1:7">
      <c r="A759" s="7" t="s">
        <v>503</v>
      </c>
      <c r="B759" s="7" t="s">
        <v>31</v>
      </c>
      <c r="C759" s="7" t="str">
        <f>VLOOKUP(B759,Indice!$B$1:$C$22,2,0)</f>
        <v>INPE</v>
      </c>
      <c r="D759" s="7" t="str">
        <f>$A759&amp;"-"&amp;$C759&amp;"-"&amp;TEXT(COUNTIFS($A$2:$A759,$A759,$C$2:$C759,$C759),"000")</f>
        <v>F2-INPE-045</v>
      </c>
      <c r="E759" s="7" t="s">
        <v>810</v>
      </c>
      <c r="F759" s="7" t="s">
        <v>766</v>
      </c>
      <c r="G759" s="7" t="s">
        <v>4</v>
      </c>
    </row>
    <row r="760" spans="1:7">
      <c r="A760" s="7" t="s">
        <v>503</v>
      </c>
      <c r="B760" s="7" t="s">
        <v>31</v>
      </c>
      <c r="C760" s="7" t="str">
        <f>VLOOKUP(B760,Indice!$B$1:$C$22,2,0)</f>
        <v>INPE</v>
      </c>
      <c r="D760" s="7" t="str">
        <f>$A760&amp;"-"&amp;$C760&amp;"-"&amp;TEXT(COUNTIFS($A$2:$A760,$A760,$C$2:$C760,$C760),"000")</f>
        <v>F2-INPE-046</v>
      </c>
      <c r="E760" s="7" t="s">
        <v>811</v>
      </c>
      <c r="F760" s="7" t="s">
        <v>766</v>
      </c>
      <c r="G760" s="7" t="s">
        <v>4</v>
      </c>
    </row>
    <row r="761" spans="1:7">
      <c r="A761" s="7" t="s">
        <v>503</v>
      </c>
      <c r="B761" s="7" t="s">
        <v>31</v>
      </c>
      <c r="C761" s="7" t="str">
        <f>VLOOKUP(B761,Indice!$B$1:$C$22,2,0)</f>
        <v>INPE</v>
      </c>
      <c r="D761" s="7" t="str">
        <f>$A761&amp;"-"&amp;$C761&amp;"-"&amp;TEXT(COUNTIFS($A$2:$A761,$A761,$C$2:$C761,$C761),"000")</f>
        <v>F2-INPE-047</v>
      </c>
      <c r="E761" s="7" t="s">
        <v>812</v>
      </c>
      <c r="F761" s="7" t="s">
        <v>766</v>
      </c>
      <c r="G761" s="7" t="s">
        <v>4</v>
      </c>
    </row>
    <row r="762" spans="1:7">
      <c r="A762" s="7" t="s">
        <v>503</v>
      </c>
      <c r="B762" s="7" t="s">
        <v>31</v>
      </c>
      <c r="C762" s="7" t="str">
        <f>VLOOKUP(B762,Indice!$B$1:$C$22,2,0)</f>
        <v>INPE</v>
      </c>
      <c r="D762" s="7" t="str">
        <f>$A762&amp;"-"&amp;$C762&amp;"-"&amp;TEXT(COUNTIFS($A$2:$A762,$A762,$C$2:$C762,$C762),"000")</f>
        <v>F2-INPE-048</v>
      </c>
      <c r="E762" s="7" t="s">
        <v>813</v>
      </c>
      <c r="F762" s="7" t="s">
        <v>766</v>
      </c>
      <c r="G762" s="7" t="s">
        <v>4</v>
      </c>
    </row>
    <row r="763" spans="1:7">
      <c r="A763" s="7" t="s">
        <v>503</v>
      </c>
      <c r="B763" s="7" t="s">
        <v>31</v>
      </c>
      <c r="C763" s="7" t="str">
        <f>VLOOKUP(B763,Indice!$B$1:$C$22,2,0)</f>
        <v>INPE</v>
      </c>
      <c r="D763" s="7" t="str">
        <f>$A763&amp;"-"&amp;$C763&amp;"-"&amp;TEXT(COUNTIFS($A$2:$A763,$A763,$C$2:$C763,$C763),"000")</f>
        <v>F2-INPE-049</v>
      </c>
      <c r="E763" s="7" t="s">
        <v>814</v>
      </c>
      <c r="F763" s="7" t="s">
        <v>766</v>
      </c>
      <c r="G763" s="7" t="s">
        <v>4</v>
      </c>
    </row>
    <row r="764" spans="1:7">
      <c r="A764" s="7" t="s">
        <v>503</v>
      </c>
      <c r="B764" s="7" t="s">
        <v>31</v>
      </c>
      <c r="C764" s="7" t="str">
        <f>VLOOKUP(B764,Indice!$B$1:$C$22,2,0)</f>
        <v>INPE</v>
      </c>
      <c r="D764" s="7" t="str">
        <f>$A764&amp;"-"&amp;$C764&amp;"-"&amp;TEXT(COUNTIFS($A$2:$A764,$A764,$C$2:$C764,$C764),"000")</f>
        <v>F2-INPE-050</v>
      </c>
      <c r="E764" s="7" t="s">
        <v>815</v>
      </c>
      <c r="F764" s="7" t="s">
        <v>766</v>
      </c>
      <c r="G764" s="7" t="s">
        <v>4</v>
      </c>
    </row>
    <row r="765" spans="1:7">
      <c r="A765" s="7" t="s">
        <v>503</v>
      </c>
      <c r="B765" s="7" t="s">
        <v>31</v>
      </c>
      <c r="C765" s="7" t="str">
        <f>VLOOKUP(B765,Indice!$B$1:$C$22,2,0)</f>
        <v>INPE</v>
      </c>
      <c r="D765" s="7" t="str">
        <f>$A765&amp;"-"&amp;$C765&amp;"-"&amp;TEXT(COUNTIFS($A$2:$A765,$A765,$C$2:$C765,$C765),"000")</f>
        <v>F2-INPE-051</v>
      </c>
      <c r="E765" s="7" t="s">
        <v>816</v>
      </c>
      <c r="F765" s="7" t="s">
        <v>766</v>
      </c>
      <c r="G765" s="7" t="s">
        <v>4</v>
      </c>
    </row>
    <row r="766" spans="1:7">
      <c r="A766" s="7" t="s">
        <v>503</v>
      </c>
      <c r="B766" s="7" t="s">
        <v>31</v>
      </c>
      <c r="C766" s="7" t="str">
        <f>VLOOKUP(B766,Indice!$B$1:$C$22,2,0)</f>
        <v>INPE</v>
      </c>
      <c r="D766" s="7" t="str">
        <f>$A766&amp;"-"&amp;$C766&amp;"-"&amp;TEXT(COUNTIFS($A$2:$A766,$A766,$C$2:$C766,$C766),"000")</f>
        <v>F2-INPE-052</v>
      </c>
      <c r="E766" s="7" t="s">
        <v>817</v>
      </c>
      <c r="F766" s="7" t="s">
        <v>766</v>
      </c>
      <c r="G766" s="7" t="s">
        <v>4</v>
      </c>
    </row>
    <row r="767" spans="1:7">
      <c r="A767" s="7" t="s">
        <v>503</v>
      </c>
      <c r="B767" s="7" t="s">
        <v>31</v>
      </c>
      <c r="C767" s="7" t="str">
        <f>VLOOKUP(B767,Indice!$B$1:$C$22,2,0)</f>
        <v>INPE</v>
      </c>
      <c r="D767" s="7" t="str">
        <f>$A767&amp;"-"&amp;$C767&amp;"-"&amp;TEXT(COUNTIFS($A$2:$A767,$A767,$C$2:$C767,$C767),"000")</f>
        <v>F2-INPE-053</v>
      </c>
      <c r="E767" s="7" t="s">
        <v>818</v>
      </c>
      <c r="F767" s="7" t="s">
        <v>766</v>
      </c>
      <c r="G767" s="7" t="s">
        <v>4</v>
      </c>
    </row>
    <row r="768" spans="1:7">
      <c r="A768" s="7" t="s">
        <v>503</v>
      </c>
      <c r="B768" s="7" t="s">
        <v>31</v>
      </c>
      <c r="C768" s="7" t="str">
        <f>VLOOKUP(B768,Indice!$B$1:$C$22,2,0)</f>
        <v>INPE</v>
      </c>
      <c r="D768" s="7" t="str">
        <f>$A768&amp;"-"&amp;$C768&amp;"-"&amp;TEXT(COUNTIFS($A$2:$A768,$A768,$C$2:$C768,$C768),"000")</f>
        <v>F2-INPE-054</v>
      </c>
      <c r="E768" s="7" t="s">
        <v>819</v>
      </c>
      <c r="F768" s="7" t="s">
        <v>766</v>
      </c>
      <c r="G768" s="7" t="s">
        <v>4</v>
      </c>
    </row>
    <row r="769" spans="1:7">
      <c r="A769" s="7" t="s">
        <v>503</v>
      </c>
      <c r="B769" s="7" t="s">
        <v>31</v>
      </c>
      <c r="C769" s="7" t="str">
        <f>VLOOKUP(B769,Indice!$B$1:$C$22,2,0)</f>
        <v>INPE</v>
      </c>
      <c r="D769" s="7" t="str">
        <f>$A769&amp;"-"&amp;$C769&amp;"-"&amp;TEXT(COUNTIFS($A$2:$A769,$A769,$C$2:$C769,$C769),"000")</f>
        <v>F2-INPE-055</v>
      </c>
      <c r="E769" s="7" t="s">
        <v>820</v>
      </c>
      <c r="F769" s="7" t="s">
        <v>766</v>
      </c>
      <c r="G769" s="7" t="s">
        <v>4</v>
      </c>
    </row>
    <row r="770" spans="1:7">
      <c r="A770" s="7" t="s">
        <v>503</v>
      </c>
      <c r="B770" s="7" t="s">
        <v>31</v>
      </c>
      <c r="C770" s="7" t="str">
        <f>VLOOKUP(B770,Indice!$B$1:$C$22,2,0)</f>
        <v>INPE</v>
      </c>
      <c r="D770" s="7" t="str">
        <f>$A770&amp;"-"&amp;$C770&amp;"-"&amp;TEXT(COUNTIFS($A$2:$A770,$A770,$C$2:$C770,$C770),"000")</f>
        <v>F2-INPE-056</v>
      </c>
      <c r="E770" s="7" t="s">
        <v>821</v>
      </c>
      <c r="F770" s="7" t="s">
        <v>822</v>
      </c>
      <c r="G770" s="7" t="s">
        <v>3</v>
      </c>
    </row>
    <row r="771" spans="1:7">
      <c r="A771" s="7" t="s">
        <v>503</v>
      </c>
      <c r="B771" s="7" t="s">
        <v>31</v>
      </c>
      <c r="C771" s="7" t="str">
        <f>VLOOKUP(B771,Indice!$B$1:$C$22,2,0)</f>
        <v>INPE</v>
      </c>
      <c r="D771" s="7" t="str">
        <f>$A771&amp;"-"&amp;$C771&amp;"-"&amp;TEXT(COUNTIFS($A$2:$A771,$A771,$C$2:$C771,$C771),"000")</f>
        <v>F2-INPE-057</v>
      </c>
      <c r="E771" s="7" t="s">
        <v>823</v>
      </c>
      <c r="F771" s="7" t="s">
        <v>822</v>
      </c>
      <c r="G771" s="7" t="s">
        <v>3</v>
      </c>
    </row>
    <row r="772" spans="1:7">
      <c r="A772" s="7" t="s">
        <v>503</v>
      </c>
      <c r="B772" s="7" t="s">
        <v>31</v>
      </c>
      <c r="C772" s="7" t="str">
        <f>VLOOKUP(B772,Indice!$B$1:$C$22,2,0)</f>
        <v>INPE</v>
      </c>
      <c r="D772" s="7" t="str">
        <f>$A772&amp;"-"&amp;$C772&amp;"-"&amp;TEXT(COUNTIFS($A$2:$A772,$A772,$C$2:$C772,$C772),"000")</f>
        <v>F2-INPE-058</v>
      </c>
      <c r="E772" s="7" t="s">
        <v>824</v>
      </c>
      <c r="F772" s="7" t="s">
        <v>822</v>
      </c>
      <c r="G772" s="7" t="s">
        <v>3</v>
      </c>
    </row>
    <row r="773" spans="1:7">
      <c r="A773" s="7" t="s">
        <v>503</v>
      </c>
      <c r="B773" s="7" t="s">
        <v>31</v>
      </c>
      <c r="C773" s="7" t="str">
        <f>VLOOKUP(B773,Indice!$B$1:$C$22,2,0)</f>
        <v>INPE</v>
      </c>
      <c r="D773" s="7" t="str">
        <f>$A773&amp;"-"&amp;$C773&amp;"-"&amp;TEXT(COUNTIFS($A$2:$A773,$A773,$C$2:$C773,$C773),"000")</f>
        <v>F2-INPE-059</v>
      </c>
      <c r="E773" s="7" t="s">
        <v>825</v>
      </c>
      <c r="F773" s="7" t="s">
        <v>822</v>
      </c>
      <c r="G773" s="7" t="s">
        <v>3</v>
      </c>
    </row>
    <row r="774" spans="1:7">
      <c r="A774" s="7" t="s">
        <v>503</v>
      </c>
      <c r="B774" s="7" t="s">
        <v>32</v>
      </c>
      <c r="C774" s="7" t="str">
        <f>VLOOKUP(B774,Indice!$B$1:$C$22,2,0)</f>
        <v>SWF</v>
      </c>
      <c r="D774" s="7" t="str">
        <f>$A774&amp;"-"&amp;$C774&amp;"-"&amp;TEXT(COUNTIFS($A$2:$A774,$A774,$C$2:$C774,$C774),"000")</f>
        <v>F2-SWF-001</v>
      </c>
      <c r="E774" s="7" t="s">
        <v>826</v>
      </c>
      <c r="F774" s="7" t="s">
        <v>827</v>
      </c>
      <c r="G774" s="7" t="s">
        <v>4</v>
      </c>
    </row>
    <row r="775" spans="1:7">
      <c r="A775" s="7" t="s">
        <v>503</v>
      </c>
      <c r="B775" s="7" t="s">
        <v>32</v>
      </c>
      <c r="C775" s="7" t="str">
        <f>VLOOKUP(B775,Indice!$B$1:$C$22,2,0)</f>
        <v>SWF</v>
      </c>
      <c r="D775" s="7" t="str">
        <f>$A775&amp;"-"&amp;$C775&amp;"-"&amp;TEXT(COUNTIFS($A$2:$A775,$A775,$C$2:$C775,$C775),"000")</f>
        <v>F2-SWF-002</v>
      </c>
      <c r="E775" s="7" t="s">
        <v>828</v>
      </c>
      <c r="F775" s="7" t="s">
        <v>827</v>
      </c>
      <c r="G775" s="7" t="s">
        <v>4</v>
      </c>
    </row>
    <row r="776" spans="1:7">
      <c r="A776" s="7" t="s">
        <v>503</v>
      </c>
      <c r="B776" s="7" t="s">
        <v>32</v>
      </c>
      <c r="C776" s="7" t="str">
        <f>VLOOKUP(B776,Indice!$B$1:$C$22,2,0)</f>
        <v>SWF</v>
      </c>
      <c r="D776" s="7" t="str">
        <f>$A776&amp;"-"&amp;$C776&amp;"-"&amp;TEXT(COUNTIFS($A$2:$A776,$A776,$C$2:$C776,$C776),"000")</f>
        <v>F2-SWF-003</v>
      </c>
      <c r="E776" s="7" t="s">
        <v>829</v>
      </c>
      <c r="F776" s="7" t="s">
        <v>827</v>
      </c>
      <c r="G776" s="7" t="s">
        <v>4</v>
      </c>
    </row>
    <row r="777" spans="1:7">
      <c r="A777" s="7" t="s">
        <v>503</v>
      </c>
      <c r="B777" s="7" t="s">
        <v>32</v>
      </c>
      <c r="C777" s="7" t="str">
        <f>VLOOKUP(B777,Indice!$B$1:$C$22,2,0)</f>
        <v>SWF</v>
      </c>
      <c r="D777" s="7" t="str">
        <f>$A777&amp;"-"&amp;$C777&amp;"-"&amp;TEXT(COUNTIFS($A$2:$A777,$A777,$C$2:$C777,$C777),"000")</f>
        <v>F2-SWF-004</v>
      </c>
      <c r="E777" s="7" t="s">
        <v>830</v>
      </c>
      <c r="F777" s="7" t="s">
        <v>827</v>
      </c>
      <c r="G777" s="7" t="s">
        <v>4</v>
      </c>
    </row>
    <row r="778" spans="1:7">
      <c r="A778" s="7" t="s">
        <v>503</v>
      </c>
      <c r="B778" s="7" t="s">
        <v>32</v>
      </c>
      <c r="C778" s="7" t="str">
        <f>VLOOKUP(B778,Indice!$B$1:$C$22,2,0)</f>
        <v>SWF</v>
      </c>
      <c r="D778" s="7" t="str">
        <f>$A778&amp;"-"&amp;$C778&amp;"-"&amp;TEXT(COUNTIFS($A$2:$A778,$A778,$C$2:$C778,$C778),"000")</f>
        <v>F2-SWF-005</v>
      </c>
      <c r="E778" s="7" t="s">
        <v>831</v>
      </c>
      <c r="F778" s="7" t="s">
        <v>827</v>
      </c>
      <c r="G778" s="7" t="s">
        <v>4</v>
      </c>
    </row>
    <row r="779" spans="1:7">
      <c r="A779" s="7" t="s">
        <v>503</v>
      </c>
      <c r="B779" s="7" t="s">
        <v>32</v>
      </c>
      <c r="C779" s="7" t="str">
        <f>VLOOKUP(B779,Indice!$B$1:$C$22,2,0)</f>
        <v>SWF</v>
      </c>
      <c r="D779" s="7" t="str">
        <f>$A779&amp;"-"&amp;$C779&amp;"-"&amp;TEXT(COUNTIFS($A$2:$A779,$A779,$C$2:$C779,$C779),"000")</f>
        <v>F2-SWF-006</v>
      </c>
      <c r="E779" s="7" t="s">
        <v>832</v>
      </c>
      <c r="F779" s="7" t="s">
        <v>827</v>
      </c>
      <c r="G779" s="7" t="s">
        <v>4</v>
      </c>
    </row>
    <row r="780" spans="1:7">
      <c r="A780" s="7" t="s">
        <v>503</v>
      </c>
      <c r="B780" s="7" t="s">
        <v>32</v>
      </c>
      <c r="C780" s="7" t="str">
        <f>VLOOKUP(B780,Indice!$B$1:$C$22,2,0)</f>
        <v>SWF</v>
      </c>
      <c r="D780" s="7" t="str">
        <f>$A780&amp;"-"&amp;$C780&amp;"-"&amp;TEXT(COUNTIFS($A$2:$A780,$A780,$C$2:$C780,$C780),"000")</f>
        <v>F2-SWF-007</v>
      </c>
      <c r="E780" s="7" t="s">
        <v>833</v>
      </c>
      <c r="F780" s="7" t="s">
        <v>827</v>
      </c>
      <c r="G780" s="7" t="s">
        <v>4</v>
      </c>
    </row>
    <row r="781" spans="1:7">
      <c r="A781" s="7" t="s">
        <v>503</v>
      </c>
      <c r="B781" s="7" t="s">
        <v>32</v>
      </c>
      <c r="C781" s="7" t="str">
        <f>VLOOKUP(B781,Indice!$B$1:$C$22,2,0)</f>
        <v>SWF</v>
      </c>
      <c r="D781" s="7" t="str">
        <f>$A781&amp;"-"&amp;$C781&amp;"-"&amp;TEXT(COUNTIFS($A$2:$A781,$A781,$C$2:$C781,$C781),"000")</f>
        <v>F2-SWF-008</v>
      </c>
      <c r="E781" s="7" t="s">
        <v>834</v>
      </c>
      <c r="F781" s="7" t="s">
        <v>827</v>
      </c>
      <c r="G781" s="7" t="s">
        <v>4</v>
      </c>
    </row>
    <row r="782" spans="1:7">
      <c r="A782" s="7" t="s">
        <v>503</v>
      </c>
      <c r="B782" s="7" t="s">
        <v>32</v>
      </c>
      <c r="C782" s="7" t="str">
        <f>VLOOKUP(B782,Indice!$B$1:$C$22,2,0)</f>
        <v>SWF</v>
      </c>
      <c r="D782" s="7" t="str">
        <f>$A782&amp;"-"&amp;$C782&amp;"-"&amp;TEXT(COUNTIFS($A$2:$A782,$A782,$C$2:$C782,$C782),"000")</f>
        <v>F2-SWF-009</v>
      </c>
      <c r="E782" s="7" t="s">
        <v>835</v>
      </c>
      <c r="F782" s="7" t="s">
        <v>827</v>
      </c>
      <c r="G782" s="7" t="s">
        <v>4</v>
      </c>
    </row>
    <row r="783" spans="1:7">
      <c r="A783" s="7" t="s">
        <v>503</v>
      </c>
      <c r="B783" s="7" t="s">
        <v>32</v>
      </c>
      <c r="C783" s="7" t="str">
        <f>VLOOKUP(B783,Indice!$B$1:$C$22,2,0)</f>
        <v>SWF</v>
      </c>
      <c r="D783" s="7" t="str">
        <f>$A783&amp;"-"&amp;$C783&amp;"-"&amp;TEXT(COUNTIFS($A$2:$A783,$A783,$C$2:$C783,$C783),"000")</f>
        <v>F2-SWF-010</v>
      </c>
      <c r="E783" s="7" t="s">
        <v>836</v>
      </c>
      <c r="F783" s="7" t="s">
        <v>827</v>
      </c>
      <c r="G783" s="7" t="s">
        <v>4</v>
      </c>
    </row>
    <row r="784" spans="1:7">
      <c r="A784" s="7" t="s">
        <v>503</v>
      </c>
      <c r="B784" s="7" t="s">
        <v>32</v>
      </c>
      <c r="C784" s="7" t="str">
        <f>VLOOKUP(B784,Indice!$B$1:$C$22,2,0)</f>
        <v>SWF</v>
      </c>
      <c r="D784" s="7" t="str">
        <f>$A784&amp;"-"&amp;$C784&amp;"-"&amp;TEXT(COUNTIFS($A$2:$A784,$A784,$C$2:$C784,$C784),"000")</f>
        <v>F2-SWF-011</v>
      </c>
      <c r="E784" s="7" t="s">
        <v>837</v>
      </c>
      <c r="F784" s="7" t="s">
        <v>827</v>
      </c>
      <c r="G784" s="7" t="s">
        <v>4</v>
      </c>
    </row>
    <row r="785" spans="1:7">
      <c r="A785" s="7" t="s">
        <v>503</v>
      </c>
      <c r="B785" s="7" t="s">
        <v>32</v>
      </c>
      <c r="C785" s="7" t="str">
        <f>VLOOKUP(B785,Indice!$B$1:$C$22,2,0)</f>
        <v>SWF</v>
      </c>
      <c r="D785" s="7" t="str">
        <f>$A785&amp;"-"&amp;$C785&amp;"-"&amp;TEXT(COUNTIFS($A$2:$A785,$A785,$C$2:$C785,$C785),"000")</f>
        <v>F2-SWF-012</v>
      </c>
      <c r="E785" s="7" t="s">
        <v>838</v>
      </c>
      <c r="F785" s="7" t="s">
        <v>827</v>
      </c>
      <c r="G785" s="7" t="s">
        <v>4</v>
      </c>
    </row>
    <row r="786" spans="1:7">
      <c r="A786" s="7" t="s">
        <v>503</v>
      </c>
      <c r="B786" s="7" t="s">
        <v>32</v>
      </c>
      <c r="C786" s="7" t="str">
        <f>VLOOKUP(B786,Indice!$B$1:$C$22,2,0)</f>
        <v>SWF</v>
      </c>
      <c r="D786" s="7" t="str">
        <f>$A786&amp;"-"&amp;$C786&amp;"-"&amp;TEXT(COUNTIFS($A$2:$A786,$A786,$C$2:$C786,$C786),"000")</f>
        <v>F2-SWF-013</v>
      </c>
      <c r="E786" s="7" t="s">
        <v>839</v>
      </c>
      <c r="F786" s="7" t="s">
        <v>827</v>
      </c>
      <c r="G786" s="7" t="s">
        <v>4</v>
      </c>
    </row>
    <row r="787" spans="1:7">
      <c r="A787" s="7" t="s">
        <v>503</v>
      </c>
      <c r="B787" s="7" t="s">
        <v>32</v>
      </c>
      <c r="C787" s="7" t="str">
        <f>VLOOKUP(B787,Indice!$B$1:$C$22,2,0)</f>
        <v>SWF</v>
      </c>
      <c r="D787" s="7" t="str">
        <f>$A787&amp;"-"&amp;$C787&amp;"-"&amp;TEXT(COUNTIFS($A$2:$A787,$A787,$C$2:$C787,$C787),"000")</f>
        <v>F2-SWF-014</v>
      </c>
      <c r="E787" s="7" t="s">
        <v>840</v>
      </c>
      <c r="F787" s="7" t="s">
        <v>827</v>
      </c>
      <c r="G787" s="7" t="s">
        <v>4</v>
      </c>
    </row>
    <row r="788" spans="1:7">
      <c r="A788" s="7" t="s">
        <v>503</v>
      </c>
      <c r="B788" s="7" t="s">
        <v>32</v>
      </c>
      <c r="C788" s="7" t="str">
        <f>VLOOKUP(B788,Indice!$B$1:$C$22,2,0)</f>
        <v>SWF</v>
      </c>
      <c r="D788" s="7" t="str">
        <f>$A788&amp;"-"&amp;$C788&amp;"-"&amp;TEXT(COUNTIFS($A$2:$A788,$A788,$C$2:$C788,$C788),"000")</f>
        <v>F2-SWF-015</v>
      </c>
      <c r="E788" s="7" t="s">
        <v>841</v>
      </c>
      <c r="F788" s="7" t="s">
        <v>827</v>
      </c>
      <c r="G788" s="7" t="s">
        <v>4</v>
      </c>
    </row>
    <row r="789" spans="1:7">
      <c r="A789" s="7" t="s">
        <v>503</v>
      </c>
      <c r="B789" s="7" t="s">
        <v>32</v>
      </c>
      <c r="C789" s="7" t="str">
        <f>VLOOKUP(B789,Indice!$B$1:$C$22,2,0)</f>
        <v>SWF</v>
      </c>
      <c r="D789" s="7" t="str">
        <f>$A789&amp;"-"&amp;$C789&amp;"-"&amp;TEXT(COUNTIFS($A$2:$A789,$A789,$C$2:$C789,$C789),"000")</f>
        <v>F2-SWF-016</v>
      </c>
      <c r="E789" s="7" t="s">
        <v>842</v>
      </c>
      <c r="F789" s="7" t="s">
        <v>827</v>
      </c>
      <c r="G789" s="7" t="s">
        <v>4</v>
      </c>
    </row>
    <row r="790" spans="1:7">
      <c r="A790" s="7" t="s">
        <v>503</v>
      </c>
      <c r="B790" s="7" t="s">
        <v>32</v>
      </c>
      <c r="C790" s="7" t="str">
        <f>VLOOKUP(B790,Indice!$B$1:$C$22,2,0)</f>
        <v>SWF</v>
      </c>
      <c r="D790" s="7" t="str">
        <f>$A790&amp;"-"&amp;$C790&amp;"-"&amp;TEXT(COUNTIFS($A$2:$A790,$A790,$C$2:$C790,$C790),"000")</f>
        <v>F2-SWF-017</v>
      </c>
      <c r="E790" s="7" t="s">
        <v>843</v>
      </c>
      <c r="F790" s="7" t="s">
        <v>827</v>
      </c>
      <c r="G790" s="7" t="s">
        <v>4</v>
      </c>
    </row>
    <row r="791" spans="1:7">
      <c r="A791" s="7" t="s">
        <v>503</v>
      </c>
      <c r="B791" s="7" t="s">
        <v>32</v>
      </c>
      <c r="C791" s="7" t="str">
        <f>VLOOKUP(B791,Indice!$B$1:$C$22,2,0)</f>
        <v>SWF</v>
      </c>
      <c r="D791" s="7" t="str">
        <f>$A791&amp;"-"&amp;$C791&amp;"-"&amp;TEXT(COUNTIFS($A$2:$A791,$A791,$C$2:$C791,$C791),"000")</f>
        <v>F2-SWF-018</v>
      </c>
      <c r="E791" s="7" t="s">
        <v>844</v>
      </c>
      <c r="F791" s="7" t="s">
        <v>827</v>
      </c>
      <c r="G791" s="7" t="s">
        <v>4</v>
      </c>
    </row>
    <row r="792" spans="1:7">
      <c r="A792" s="7" t="s">
        <v>503</v>
      </c>
      <c r="B792" s="7" t="s">
        <v>32</v>
      </c>
      <c r="C792" s="7" t="str">
        <f>VLOOKUP(B792,Indice!$B$1:$C$22,2,0)</f>
        <v>SWF</v>
      </c>
      <c r="D792" s="7" t="str">
        <f>$A792&amp;"-"&amp;$C792&amp;"-"&amp;TEXT(COUNTIFS($A$2:$A792,$A792,$C$2:$C792,$C792),"000")</f>
        <v>F2-SWF-019</v>
      </c>
      <c r="E792" s="7" t="s">
        <v>845</v>
      </c>
      <c r="F792" s="7" t="s">
        <v>827</v>
      </c>
      <c r="G792" s="7" t="s">
        <v>4</v>
      </c>
    </row>
    <row r="793" spans="1:7">
      <c r="A793" s="7" t="s">
        <v>503</v>
      </c>
      <c r="B793" s="7" t="s">
        <v>32</v>
      </c>
      <c r="C793" s="7" t="str">
        <f>VLOOKUP(B793,Indice!$B$1:$C$22,2,0)</f>
        <v>SWF</v>
      </c>
      <c r="D793" s="7" t="str">
        <f>$A793&amp;"-"&amp;$C793&amp;"-"&amp;TEXT(COUNTIFS($A$2:$A793,$A793,$C$2:$C793,$C793),"000")</f>
        <v>F2-SWF-020</v>
      </c>
      <c r="E793" s="7" t="s">
        <v>846</v>
      </c>
      <c r="F793" s="7" t="s">
        <v>827</v>
      </c>
      <c r="G793" s="7" t="s">
        <v>4</v>
      </c>
    </row>
    <row r="794" spans="1:7">
      <c r="A794" s="7" t="s">
        <v>503</v>
      </c>
      <c r="B794" s="7" t="s">
        <v>32</v>
      </c>
      <c r="C794" s="7" t="str">
        <f>VLOOKUP(B794,Indice!$B$1:$C$22,2,0)</f>
        <v>SWF</v>
      </c>
      <c r="D794" s="7" t="str">
        <f>$A794&amp;"-"&amp;$C794&amp;"-"&amp;TEXT(COUNTIFS($A$2:$A794,$A794,$C$2:$C794,$C794),"000")</f>
        <v>F2-SWF-021</v>
      </c>
      <c r="E794" s="7" t="s">
        <v>847</v>
      </c>
      <c r="F794" s="7" t="s">
        <v>827</v>
      </c>
      <c r="G794" s="7" t="s">
        <v>4</v>
      </c>
    </row>
    <row r="795" spans="1:7">
      <c r="A795" s="7" t="s">
        <v>503</v>
      </c>
      <c r="B795" s="7" t="s">
        <v>32</v>
      </c>
      <c r="C795" s="7" t="str">
        <f>VLOOKUP(B795,Indice!$B$1:$C$22,2,0)</f>
        <v>SWF</v>
      </c>
      <c r="D795" s="7" t="str">
        <f>$A795&amp;"-"&amp;$C795&amp;"-"&amp;TEXT(COUNTIFS($A$2:$A795,$A795,$C$2:$C795,$C795),"000")</f>
        <v>F2-SWF-022</v>
      </c>
      <c r="E795" s="7" t="s">
        <v>848</v>
      </c>
      <c r="F795" s="7" t="s">
        <v>827</v>
      </c>
      <c r="G795" s="7" t="s">
        <v>4</v>
      </c>
    </row>
    <row r="796" spans="1:7">
      <c r="A796" s="7" t="s">
        <v>503</v>
      </c>
      <c r="B796" s="7" t="s">
        <v>32</v>
      </c>
      <c r="C796" s="7" t="str">
        <f>VLOOKUP(B796,Indice!$B$1:$C$22,2,0)</f>
        <v>SWF</v>
      </c>
      <c r="D796" s="7" t="str">
        <f>$A796&amp;"-"&amp;$C796&amp;"-"&amp;TEXT(COUNTIFS($A$2:$A796,$A796,$C$2:$C796,$C796),"000")</f>
        <v>F2-SWF-023</v>
      </c>
      <c r="E796" s="7" t="s">
        <v>849</v>
      </c>
      <c r="F796" s="7" t="s">
        <v>827</v>
      </c>
      <c r="G796" s="7" t="s">
        <v>4</v>
      </c>
    </row>
    <row r="797" spans="1:7">
      <c r="A797" s="7" t="s">
        <v>503</v>
      </c>
      <c r="B797" s="7" t="s">
        <v>32</v>
      </c>
      <c r="C797" s="7" t="str">
        <f>VLOOKUP(B797,Indice!$B$1:$C$22,2,0)</f>
        <v>SWF</v>
      </c>
      <c r="D797" s="7" t="str">
        <f>$A797&amp;"-"&amp;$C797&amp;"-"&amp;TEXT(COUNTIFS($A$2:$A797,$A797,$C$2:$C797,$C797),"000")</f>
        <v>F2-SWF-024</v>
      </c>
      <c r="E797" s="7" t="s">
        <v>850</v>
      </c>
      <c r="F797" s="7" t="s">
        <v>827</v>
      </c>
      <c r="G797" s="7" t="s">
        <v>4</v>
      </c>
    </row>
    <row r="798" spans="1:7">
      <c r="A798" s="7" t="s">
        <v>503</v>
      </c>
      <c r="B798" s="7" t="s">
        <v>32</v>
      </c>
      <c r="C798" s="7" t="str">
        <f>VLOOKUP(B798,Indice!$B$1:$C$22,2,0)</f>
        <v>SWF</v>
      </c>
      <c r="D798" s="7" t="str">
        <f>$A798&amp;"-"&amp;$C798&amp;"-"&amp;TEXT(COUNTIFS($A$2:$A798,$A798,$C$2:$C798,$C798),"000")</f>
        <v>F2-SWF-025</v>
      </c>
      <c r="E798" s="7" t="s">
        <v>851</v>
      </c>
      <c r="F798" s="7" t="s">
        <v>827</v>
      </c>
      <c r="G798" s="7" t="s">
        <v>4</v>
      </c>
    </row>
    <row r="799" spans="1:7">
      <c r="A799" s="7" t="s">
        <v>503</v>
      </c>
      <c r="B799" s="7" t="s">
        <v>32</v>
      </c>
      <c r="C799" s="7" t="str">
        <f>VLOOKUP(B799,Indice!$B$1:$C$22,2,0)</f>
        <v>SWF</v>
      </c>
      <c r="D799" s="7" t="str">
        <f>$A799&amp;"-"&amp;$C799&amp;"-"&amp;TEXT(COUNTIFS($A$2:$A799,$A799,$C$2:$C799,$C799),"000")</f>
        <v>F2-SWF-026</v>
      </c>
      <c r="E799" s="7" t="s">
        <v>852</v>
      </c>
      <c r="F799" s="7" t="s">
        <v>827</v>
      </c>
      <c r="G799" s="7" t="s">
        <v>4</v>
      </c>
    </row>
    <row r="800" spans="1:7">
      <c r="A800" s="7" t="s">
        <v>503</v>
      </c>
      <c r="B800" s="7" t="s">
        <v>32</v>
      </c>
      <c r="C800" s="7" t="str">
        <f>VLOOKUP(B800,Indice!$B$1:$C$22,2,0)</f>
        <v>SWF</v>
      </c>
      <c r="D800" s="7" t="str">
        <f>$A800&amp;"-"&amp;$C800&amp;"-"&amp;TEXT(COUNTIFS($A$2:$A800,$A800,$C$2:$C800,$C800),"000")</f>
        <v>F2-SWF-027</v>
      </c>
      <c r="E800" s="7" t="s">
        <v>853</v>
      </c>
      <c r="F800" s="7" t="s">
        <v>827</v>
      </c>
      <c r="G800" s="7" t="s">
        <v>4</v>
      </c>
    </row>
    <row r="801" spans="1:7">
      <c r="A801" s="7" t="s">
        <v>503</v>
      </c>
      <c r="B801" s="7" t="s">
        <v>32</v>
      </c>
      <c r="C801" s="7" t="str">
        <f>VLOOKUP(B801,Indice!$B$1:$C$22,2,0)</f>
        <v>SWF</v>
      </c>
      <c r="D801" s="7" t="str">
        <f>$A801&amp;"-"&amp;$C801&amp;"-"&amp;TEXT(COUNTIFS($A$2:$A801,$A801,$C$2:$C801,$C801),"000")</f>
        <v>F2-SWF-028</v>
      </c>
      <c r="E801" s="7" t="s">
        <v>854</v>
      </c>
      <c r="F801" s="7" t="s">
        <v>827</v>
      </c>
      <c r="G801" s="7" t="s">
        <v>4</v>
      </c>
    </row>
    <row r="802" spans="1:7">
      <c r="A802" s="7" t="s">
        <v>503</v>
      </c>
      <c r="B802" s="7" t="s">
        <v>32</v>
      </c>
      <c r="C802" s="7" t="str">
        <f>VLOOKUP(B802,Indice!$B$1:$C$22,2,0)</f>
        <v>SWF</v>
      </c>
      <c r="D802" s="7" t="str">
        <f>$A802&amp;"-"&amp;$C802&amp;"-"&amp;TEXT(COUNTIFS($A$2:$A802,$A802,$C$2:$C802,$C802),"000")</f>
        <v>F2-SWF-029</v>
      </c>
      <c r="E802" s="7" t="s">
        <v>855</v>
      </c>
      <c r="F802" s="7" t="s">
        <v>827</v>
      </c>
      <c r="G802" s="7" t="s">
        <v>4</v>
      </c>
    </row>
    <row r="803" spans="1:7">
      <c r="A803" s="7" t="s">
        <v>503</v>
      </c>
      <c r="B803" s="7" t="s">
        <v>32</v>
      </c>
      <c r="C803" s="7" t="str">
        <f>VLOOKUP(B803,Indice!$B$1:$C$22,2,0)</f>
        <v>SWF</v>
      </c>
      <c r="D803" s="7" t="str">
        <f>$A803&amp;"-"&amp;$C803&amp;"-"&amp;TEXT(COUNTIFS($A$2:$A803,$A803,$C$2:$C803,$C803),"000")</f>
        <v>F2-SWF-030</v>
      </c>
      <c r="E803" s="7" t="s">
        <v>856</v>
      </c>
      <c r="F803" s="7" t="s">
        <v>827</v>
      </c>
      <c r="G803" s="7" t="s">
        <v>4</v>
      </c>
    </row>
    <row r="804" spans="1:7">
      <c r="A804" s="7" t="s">
        <v>503</v>
      </c>
      <c r="B804" s="7" t="s">
        <v>32</v>
      </c>
      <c r="C804" s="7" t="str">
        <f>VLOOKUP(B804,Indice!$B$1:$C$22,2,0)</f>
        <v>SWF</v>
      </c>
      <c r="D804" s="7" t="str">
        <f>$A804&amp;"-"&amp;$C804&amp;"-"&amp;TEXT(COUNTIFS($A$2:$A804,$A804,$C$2:$C804,$C804),"000")</f>
        <v>F2-SWF-031</v>
      </c>
      <c r="E804" s="7" t="s">
        <v>857</v>
      </c>
      <c r="F804" s="7" t="s">
        <v>827</v>
      </c>
      <c r="G804" s="7" t="s">
        <v>4</v>
      </c>
    </row>
    <row r="805" spans="1:7">
      <c r="A805" s="7" t="s">
        <v>503</v>
      </c>
      <c r="B805" s="7" t="s">
        <v>32</v>
      </c>
      <c r="C805" s="7" t="str">
        <f>VLOOKUP(B805,Indice!$B$1:$C$22,2,0)</f>
        <v>SWF</v>
      </c>
      <c r="D805" s="7" t="str">
        <f>$A805&amp;"-"&amp;$C805&amp;"-"&amp;TEXT(COUNTIFS($A$2:$A805,$A805,$C$2:$C805,$C805),"000")</f>
        <v>F2-SWF-032</v>
      </c>
      <c r="E805" s="7" t="s">
        <v>858</v>
      </c>
      <c r="F805" s="7" t="s">
        <v>827</v>
      </c>
      <c r="G805" s="7" t="s">
        <v>4</v>
      </c>
    </row>
    <row r="806" spans="1:7">
      <c r="A806" s="7" t="s">
        <v>503</v>
      </c>
      <c r="B806" s="7" t="s">
        <v>32</v>
      </c>
      <c r="C806" s="7" t="str">
        <f>VLOOKUP(B806,Indice!$B$1:$C$22,2,0)</f>
        <v>SWF</v>
      </c>
      <c r="D806" s="7" t="str">
        <f>$A806&amp;"-"&amp;$C806&amp;"-"&amp;TEXT(COUNTIFS($A$2:$A806,$A806,$C$2:$C806,$C806),"000")</f>
        <v>F2-SWF-033</v>
      </c>
      <c r="E806" s="7" t="s">
        <v>859</v>
      </c>
      <c r="F806" s="7" t="s">
        <v>827</v>
      </c>
      <c r="G806" s="7" t="s">
        <v>4</v>
      </c>
    </row>
    <row r="807" spans="1:7">
      <c r="A807" s="7" t="s">
        <v>503</v>
      </c>
      <c r="B807" s="7" t="s">
        <v>32</v>
      </c>
      <c r="C807" s="7" t="str">
        <f>VLOOKUP(B807,Indice!$B$1:$C$22,2,0)</f>
        <v>SWF</v>
      </c>
      <c r="D807" s="7" t="str">
        <f>$A807&amp;"-"&amp;$C807&amp;"-"&amp;TEXT(COUNTIFS($A$2:$A807,$A807,$C$2:$C807,$C807),"000")</f>
        <v>F2-SWF-034</v>
      </c>
      <c r="E807" s="7" t="s">
        <v>860</v>
      </c>
      <c r="F807" s="7" t="s">
        <v>861</v>
      </c>
      <c r="G807" s="7" t="s">
        <v>3</v>
      </c>
    </row>
    <row r="808" spans="1:7">
      <c r="A808" s="7" t="s">
        <v>503</v>
      </c>
      <c r="B808" s="7" t="s">
        <v>32</v>
      </c>
      <c r="C808" s="7" t="str">
        <f>VLOOKUP(B808,Indice!$B$1:$C$22,2,0)</f>
        <v>SWF</v>
      </c>
      <c r="D808" s="7" t="str">
        <f>$A808&amp;"-"&amp;$C808&amp;"-"&amp;TEXT(COUNTIFS($A$2:$A808,$A808,$C$2:$C808,$C808),"000")</f>
        <v>F2-SWF-035</v>
      </c>
      <c r="E808" s="7" t="s">
        <v>862</v>
      </c>
      <c r="F808" s="7" t="s">
        <v>861</v>
      </c>
      <c r="G808" s="7" t="s">
        <v>3</v>
      </c>
    </row>
    <row r="809" spans="1:7">
      <c r="A809" s="7" t="s">
        <v>503</v>
      </c>
      <c r="B809" s="7" t="s">
        <v>32</v>
      </c>
      <c r="C809" s="7" t="str">
        <f>VLOOKUP(B809,Indice!$B$1:$C$22,2,0)</f>
        <v>SWF</v>
      </c>
      <c r="D809" s="7" t="str">
        <f>$A809&amp;"-"&amp;$C809&amp;"-"&amp;TEXT(COUNTIFS($A$2:$A809,$A809,$C$2:$C809,$C809),"000")</f>
        <v>F2-SWF-036</v>
      </c>
      <c r="E809" s="7" t="s">
        <v>863</v>
      </c>
      <c r="F809" s="7" t="s">
        <v>861</v>
      </c>
      <c r="G809" s="7" t="s">
        <v>3</v>
      </c>
    </row>
    <row r="810" spans="1:7">
      <c r="A810" s="7" t="s">
        <v>503</v>
      </c>
      <c r="B810" s="7" t="s">
        <v>32</v>
      </c>
      <c r="C810" s="7" t="str">
        <f>VLOOKUP(B810,Indice!$B$1:$C$22,2,0)</f>
        <v>SWF</v>
      </c>
      <c r="D810" s="7" t="str">
        <f>$A810&amp;"-"&amp;$C810&amp;"-"&amp;TEXT(COUNTIFS($A$2:$A810,$A810,$C$2:$C810,$C810),"000")</f>
        <v>F2-SWF-037</v>
      </c>
      <c r="E810" s="7" t="s">
        <v>864</v>
      </c>
      <c r="F810" s="7" t="s">
        <v>861</v>
      </c>
      <c r="G810" s="7" t="s">
        <v>3</v>
      </c>
    </row>
    <row r="811" spans="1:7">
      <c r="A811" s="7" t="s">
        <v>503</v>
      </c>
      <c r="B811" s="7" t="s">
        <v>32</v>
      </c>
      <c r="C811" s="7" t="str">
        <f>VLOOKUP(B811,Indice!$B$1:$C$22,2,0)</f>
        <v>SWF</v>
      </c>
      <c r="D811" s="7" t="str">
        <f>$A811&amp;"-"&amp;$C811&amp;"-"&amp;TEXT(COUNTIFS($A$2:$A811,$A811,$C$2:$C811,$C811),"000")</f>
        <v>F2-SWF-038</v>
      </c>
      <c r="E811" s="7" t="s">
        <v>865</v>
      </c>
      <c r="F811" s="7" t="s">
        <v>861</v>
      </c>
      <c r="G811" s="7" t="s">
        <v>3</v>
      </c>
    </row>
    <row r="812" spans="1:7">
      <c r="A812" s="7" t="s">
        <v>503</v>
      </c>
      <c r="B812" s="7" t="s">
        <v>32</v>
      </c>
      <c r="C812" s="7" t="str">
        <f>VLOOKUP(B812,Indice!$B$1:$C$22,2,0)</f>
        <v>SWF</v>
      </c>
      <c r="D812" s="7" t="str">
        <f>$A812&amp;"-"&amp;$C812&amp;"-"&amp;TEXT(COUNTIFS($A$2:$A812,$A812,$C$2:$C812,$C812),"000")</f>
        <v>F2-SWF-039</v>
      </c>
      <c r="E812" s="7" t="s">
        <v>866</v>
      </c>
      <c r="F812" s="7" t="s">
        <v>861</v>
      </c>
      <c r="G812" s="7" t="s">
        <v>3</v>
      </c>
    </row>
    <row r="813" spans="1:7">
      <c r="A813" s="7" t="s">
        <v>503</v>
      </c>
      <c r="B813" s="7" t="s">
        <v>32</v>
      </c>
      <c r="C813" s="7" t="str">
        <f>VLOOKUP(B813,Indice!$B$1:$C$22,2,0)</f>
        <v>SWF</v>
      </c>
      <c r="D813" s="7" t="str">
        <f>$A813&amp;"-"&amp;$C813&amp;"-"&amp;TEXT(COUNTIFS($A$2:$A813,$A813,$C$2:$C813,$C813),"000")</f>
        <v>F2-SWF-040</v>
      </c>
      <c r="E813" s="7" t="s">
        <v>867</v>
      </c>
      <c r="F813" s="7" t="s">
        <v>861</v>
      </c>
      <c r="G813" s="7" t="s">
        <v>3</v>
      </c>
    </row>
    <row r="814" spans="1:7">
      <c r="A814" s="7" t="s">
        <v>503</v>
      </c>
      <c r="B814" s="7" t="s">
        <v>32</v>
      </c>
      <c r="C814" s="7" t="str">
        <f>VLOOKUP(B814,Indice!$B$1:$C$22,2,0)</f>
        <v>SWF</v>
      </c>
      <c r="D814" s="7" t="str">
        <f>$A814&amp;"-"&amp;$C814&amp;"-"&amp;TEXT(COUNTIFS($A$2:$A814,$A814,$C$2:$C814,$C814),"000")</f>
        <v>F2-SWF-041</v>
      </c>
      <c r="E814" s="7" t="s">
        <v>868</v>
      </c>
      <c r="F814" s="7" t="s">
        <v>861</v>
      </c>
      <c r="G814" s="7" t="s">
        <v>3</v>
      </c>
    </row>
    <row r="815" spans="1:7">
      <c r="A815" s="7" t="s">
        <v>503</v>
      </c>
      <c r="B815" s="7" t="s">
        <v>32</v>
      </c>
      <c r="C815" s="7" t="str">
        <f>VLOOKUP(B815,Indice!$B$1:$C$22,2,0)</f>
        <v>SWF</v>
      </c>
      <c r="D815" s="7" t="str">
        <f>$A815&amp;"-"&amp;$C815&amp;"-"&amp;TEXT(COUNTIFS($A$2:$A815,$A815,$C$2:$C815,$C815),"000")</f>
        <v>F2-SWF-042</v>
      </c>
      <c r="E815" s="7" t="s">
        <v>869</v>
      </c>
      <c r="F815" s="7" t="s">
        <v>861</v>
      </c>
      <c r="G815" s="7" t="s">
        <v>3</v>
      </c>
    </row>
    <row r="816" spans="1:7">
      <c r="A816" s="7" t="s">
        <v>503</v>
      </c>
      <c r="B816" s="7" t="s">
        <v>32</v>
      </c>
      <c r="C816" s="7" t="str">
        <f>VLOOKUP(B816,Indice!$B$1:$C$22,2,0)</f>
        <v>SWF</v>
      </c>
      <c r="D816" s="7" t="str">
        <f>$A816&amp;"-"&amp;$C816&amp;"-"&amp;TEXT(COUNTIFS($A$2:$A816,$A816,$C$2:$C816,$C816),"000")</f>
        <v>F2-SWF-043</v>
      </c>
      <c r="E816" s="7" t="s">
        <v>870</v>
      </c>
      <c r="F816" s="7" t="s">
        <v>861</v>
      </c>
      <c r="G816" s="7" t="s">
        <v>3</v>
      </c>
    </row>
    <row r="817" spans="1:7">
      <c r="A817" s="7" t="s">
        <v>503</v>
      </c>
      <c r="B817" s="7" t="s">
        <v>32</v>
      </c>
      <c r="C817" s="7" t="str">
        <f>VLOOKUP(B817,Indice!$B$1:$C$22,2,0)</f>
        <v>SWF</v>
      </c>
      <c r="D817" s="7" t="str">
        <f>$A817&amp;"-"&amp;$C817&amp;"-"&amp;TEXT(COUNTIFS($A$2:$A817,$A817,$C$2:$C817,$C817),"000")</f>
        <v>F2-SWF-044</v>
      </c>
      <c r="E817" s="7" t="s">
        <v>871</v>
      </c>
      <c r="F817" s="7" t="s">
        <v>827</v>
      </c>
      <c r="G817" s="7" t="s">
        <v>4</v>
      </c>
    </row>
    <row r="818" spans="1:7">
      <c r="A818" s="7" t="s">
        <v>503</v>
      </c>
      <c r="B818" s="7" t="s">
        <v>32</v>
      </c>
      <c r="C818" s="7" t="str">
        <f>VLOOKUP(B818,Indice!$B$1:$C$22,2,0)</f>
        <v>SWF</v>
      </c>
      <c r="D818" s="7" t="str">
        <f>$A818&amp;"-"&amp;$C818&amp;"-"&amp;TEXT(COUNTIFS($A$2:$A818,$A818,$C$2:$C818,$C818),"000")</f>
        <v>F2-SWF-045</v>
      </c>
      <c r="E818" s="7" t="s">
        <v>872</v>
      </c>
      <c r="F818" s="7" t="s">
        <v>827</v>
      </c>
      <c r="G818" s="7" t="s">
        <v>4</v>
      </c>
    </row>
    <row r="819" spans="1:7">
      <c r="A819" s="7" t="s">
        <v>503</v>
      </c>
      <c r="B819" s="7" t="s">
        <v>32</v>
      </c>
      <c r="C819" s="7" t="str">
        <f>VLOOKUP(B819,Indice!$B$1:$C$22,2,0)</f>
        <v>SWF</v>
      </c>
      <c r="D819" s="7" t="str">
        <f>$A819&amp;"-"&amp;$C819&amp;"-"&amp;TEXT(COUNTIFS($A$2:$A819,$A819,$C$2:$C819,$C819),"000")</f>
        <v>F2-SWF-046</v>
      </c>
      <c r="E819" s="7" t="s">
        <v>873</v>
      </c>
      <c r="F819" s="7" t="s">
        <v>827</v>
      </c>
      <c r="G819" s="7" t="s">
        <v>4</v>
      </c>
    </row>
    <row r="820" spans="1:7">
      <c r="A820" s="7" t="s">
        <v>503</v>
      </c>
      <c r="B820" s="7" t="s">
        <v>32</v>
      </c>
      <c r="C820" s="7" t="str">
        <f>VLOOKUP(B820,Indice!$B$1:$C$22,2,0)</f>
        <v>SWF</v>
      </c>
      <c r="D820" s="7" t="str">
        <f>$A820&amp;"-"&amp;$C820&amp;"-"&amp;TEXT(COUNTIFS($A$2:$A820,$A820,$C$2:$C820,$C820),"000")</f>
        <v>F2-SWF-047</v>
      </c>
      <c r="E820" s="7" t="s">
        <v>874</v>
      </c>
      <c r="F820" s="7" t="s">
        <v>827</v>
      </c>
      <c r="G820" s="7" t="s">
        <v>4</v>
      </c>
    </row>
    <row r="821" spans="1:7">
      <c r="A821" s="7" t="s">
        <v>503</v>
      </c>
      <c r="B821" s="7" t="s">
        <v>32</v>
      </c>
      <c r="C821" s="7" t="str">
        <f>VLOOKUP(B821,Indice!$B$1:$C$22,2,0)</f>
        <v>SWF</v>
      </c>
      <c r="D821" s="7" t="str">
        <f>$A821&amp;"-"&amp;$C821&amp;"-"&amp;TEXT(COUNTIFS($A$2:$A821,$A821,$C$2:$C821,$C821),"000")</f>
        <v>F2-SWF-048</v>
      </c>
      <c r="E821" s="7" t="s">
        <v>875</v>
      </c>
      <c r="F821" s="7" t="s">
        <v>827</v>
      </c>
      <c r="G821" s="7" t="s">
        <v>4</v>
      </c>
    </row>
    <row r="822" spans="1:7">
      <c r="A822" s="7" t="s">
        <v>503</v>
      </c>
      <c r="B822" s="7" t="s">
        <v>32</v>
      </c>
      <c r="C822" s="7" t="str">
        <f>VLOOKUP(B822,Indice!$B$1:$C$22,2,0)</f>
        <v>SWF</v>
      </c>
      <c r="D822" s="7" t="str">
        <f>$A822&amp;"-"&amp;$C822&amp;"-"&amp;TEXT(COUNTIFS($A$2:$A822,$A822,$C$2:$C822,$C822),"000")</f>
        <v>F2-SWF-049</v>
      </c>
      <c r="E822" s="7" t="s">
        <v>876</v>
      </c>
      <c r="F822" s="7" t="s">
        <v>827</v>
      </c>
      <c r="G822" s="7" t="s">
        <v>4</v>
      </c>
    </row>
    <row r="823" spans="1:7">
      <c r="A823" s="7" t="s">
        <v>503</v>
      </c>
      <c r="B823" s="7" t="s">
        <v>32</v>
      </c>
      <c r="C823" s="7" t="str">
        <f>VLOOKUP(B823,Indice!$B$1:$C$22,2,0)</f>
        <v>SWF</v>
      </c>
      <c r="D823" s="7" t="str">
        <f>$A823&amp;"-"&amp;$C823&amp;"-"&amp;TEXT(COUNTIFS($A$2:$A823,$A823,$C$2:$C823,$C823),"000")</f>
        <v>F2-SWF-050</v>
      </c>
      <c r="E823" s="7" t="s">
        <v>877</v>
      </c>
      <c r="F823" s="7" t="s">
        <v>827</v>
      </c>
      <c r="G823" s="7" t="s">
        <v>4</v>
      </c>
    </row>
    <row r="824" spans="1:7">
      <c r="A824" s="7" t="s">
        <v>503</v>
      </c>
      <c r="B824" s="7" t="s">
        <v>32</v>
      </c>
      <c r="C824" s="7" t="str">
        <f>VLOOKUP(B824,Indice!$B$1:$C$22,2,0)</f>
        <v>SWF</v>
      </c>
      <c r="D824" s="7" t="str">
        <f>$A824&amp;"-"&amp;$C824&amp;"-"&amp;TEXT(COUNTIFS($A$2:$A824,$A824,$C$2:$C824,$C824),"000")</f>
        <v>F2-SWF-051</v>
      </c>
      <c r="E824" s="7" t="s">
        <v>878</v>
      </c>
      <c r="F824" s="7" t="s">
        <v>827</v>
      </c>
      <c r="G824" s="7" t="s">
        <v>4</v>
      </c>
    </row>
    <row r="825" spans="1:7">
      <c r="A825" s="7" t="s">
        <v>503</v>
      </c>
      <c r="B825" s="7" t="s">
        <v>32</v>
      </c>
      <c r="C825" s="7" t="str">
        <f>VLOOKUP(B825,Indice!$B$1:$C$22,2,0)</f>
        <v>SWF</v>
      </c>
      <c r="D825" s="7" t="str">
        <f>$A825&amp;"-"&amp;$C825&amp;"-"&amp;TEXT(COUNTIFS($A$2:$A825,$A825,$C$2:$C825,$C825),"000")</f>
        <v>F2-SWF-052</v>
      </c>
      <c r="E825" s="7" t="s">
        <v>879</v>
      </c>
      <c r="F825" s="7" t="s">
        <v>827</v>
      </c>
      <c r="G825" s="7" t="s">
        <v>4</v>
      </c>
    </row>
    <row r="826" spans="1:7">
      <c r="A826" s="7" t="s">
        <v>503</v>
      </c>
      <c r="B826" s="7" t="s">
        <v>32</v>
      </c>
      <c r="C826" s="7" t="str">
        <f>VLOOKUP(B826,Indice!$B$1:$C$22,2,0)</f>
        <v>SWF</v>
      </c>
      <c r="D826" s="7" t="str">
        <f>$A826&amp;"-"&amp;$C826&amp;"-"&amp;TEXT(COUNTIFS($A$2:$A826,$A826,$C$2:$C826,$C826),"000")</f>
        <v>F2-SWF-053</v>
      </c>
      <c r="E826" s="7" t="s">
        <v>880</v>
      </c>
      <c r="F826" s="7" t="s">
        <v>827</v>
      </c>
      <c r="G826" s="7" t="s">
        <v>4</v>
      </c>
    </row>
    <row r="827" spans="1:7">
      <c r="A827" s="7" t="s">
        <v>503</v>
      </c>
      <c r="B827" s="7" t="s">
        <v>32</v>
      </c>
      <c r="C827" s="7" t="str">
        <f>VLOOKUP(B827,Indice!$B$1:$C$22,2,0)</f>
        <v>SWF</v>
      </c>
      <c r="D827" s="7" t="str">
        <f>$A827&amp;"-"&amp;$C827&amp;"-"&amp;TEXT(COUNTIFS($A$2:$A827,$A827,$C$2:$C827,$C827),"000")</f>
        <v>F2-SWF-054</v>
      </c>
      <c r="E827" s="7" t="s">
        <v>881</v>
      </c>
      <c r="F827" s="7" t="s">
        <v>827</v>
      </c>
      <c r="G827" s="7" t="s">
        <v>4</v>
      </c>
    </row>
    <row r="828" spans="1:7">
      <c r="A828" s="7" t="s">
        <v>503</v>
      </c>
      <c r="B828" s="7" t="s">
        <v>32</v>
      </c>
      <c r="C828" s="7" t="str">
        <f>VLOOKUP(B828,Indice!$B$1:$C$22,2,0)</f>
        <v>SWF</v>
      </c>
      <c r="D828" s="7" t="str">
        <f>$A828&amp;"-"&amp;$C828&amp;"-"&amp;TEXT(COUNTIFS($A$2:$A828,$A828,$C$2:$C828,$C828),"000")</f>
        <v>F2-SWF-055</v>
      </c>
      <c r="E828" s="7" t="s">
        <v>882</v>
      </c>
      <c r="F828" s="7" t="s">
        <v>827</v>
      </c>
      <c r="G828" s="7" t="s">
        <v>4</v>
      </c>
    </row>
    <row r="829" spans="1:7">
      <c r="A829" s="7" t="s">
        <v>503</v>
      </c>
      <c r="B829" s="7" t="s">
        <v>32</v>
      </c>
      <c r="C829" s="7" t="str">
        <f>VLOOKUP(B829,Indice!$B$1:$C$22,2,0)</f>
        <v>SWF</v>
      </c>
      <c r="D829" s="7" t="str">
        <f>$A829&amp;"-"&amp;$C829&amp;"-"&amp;TEXT(COUNTIFS($A$2:$A829,$A829,$C$2:$C829,$C829),"000")</f>
        <v>F2-SWF-056</v>
      </c>
      <c r="E829" s="7" t="s">
        <v>883</v>
      </c>
      <c r="F829" s="7" t="s">
        <v>827</v>
      </c>
      <c r="G829" s="7" t="s">
        <v>4</v>
      </c>
    </row>
    <row r="830" spans="1:7">
      <c r="A830" s="7" t="s">
        <v>503</v>
      </c>
      <c r="B830" s="7" t="s">
        <v>32</v>
      </c>
      <c r="C830" s="7" t="str">
        <f>VLOOKUP(B830,Indice!$B$1:$C$22,2,0)</f>
        <v>SWF</v>
      </c>
      <c r="D830" s="7" t="str">
        <f>$A830&amp;"-"&amp;$C830&amp;"-"&amp;TEXT(COUNTIFS($A$2:$A830,$A830,$C$2:$C830,$C830),"000")</f>
        <v>F2-SWF-057</v>
      </c>
      <c r="E830" s="7" t="s">
        <v>884</v>
      </c>
      <c r="F830" s="7" t="s">
        <v>885</v>
      </c>
      <c r="G830" s="7" t="s">
        <v>3</v>
      </c>
    </row>
    <row r="831" spans="1:7">
      <c r="A831" s="7" t="s">
        <v>503</v>
      </c>
      <c r="B831" s="7" t="s">
        <v>32</v>
      </c>
      <c r="C831" s="7" t="str">
        <f>VLOOKUP(B831,Indice!$B$1:$C$22,2,0)</f>
        <v>SWF</v>
      </c>
      <c r="D831" s="7" t="str">
        <f>$A831&amp;"-"&amp;$C831&amp;"-"&amp;TEXT(COUNTIFS($A$2:$A831,$A831,$C$2:$C831,$C831),"000")</f>
        <v>F2-SWF-058</v>
      </c>
      <c r="E831" s="7" t="s">
        <v>886</v>
      </c>
      <c r="F831" s="7" t="s">
        <v>827</v>
      </c>
      <c r="G831" s="7" t="s">
        <v>4</v>
      </c>
    </row>
    <row r="832" spans="1:7">
      <c r="A832" s="7" t="s">
        <v>503</v>
      </c>
      <c r="B832" s="7" t="s">
        <v>32</v>
      </c>
      <c r="C832" s="7" t="str">
        <f>VLOOKUP(B832,Indice!$B$1:$C$22,2,0)</f>
        <v>SWF</v>
      </c>
      <c r="D832" s="7" t="str">
        <f>$A832&amp;"-"&amp;$C832&amp;"-"&amp;TEXT(COUNTIFS($A$2:$A832,$A832,$C$2:$C832,$C832),"000")</f>
        <v>F2-SWF-059</v>
      </c>
      <c r="E832" s="7" t="s">
        <v>887</v>
      </c>
      <c r="F832" s="7" t="s">
        <v>827</v>
      </c>
      <c r="G832" s="7" t="s">
        <v>4</v>
      </c>
    </row>
    <row r="833" spans="1:7">
      <c r="A833" s="7" t="s">
        <v>503</v>
      </c>
      <c r="B833" s="7" t="s">
        <v>32</v>
      </c>
      <c r="C833" s="7" t="str">
        <f>VLOOKUP(B833,Indice!$B$1:$C$22,2,0)</f>
        <v>SWF</v>
      </c>
      <c r="D833" s="7" t="str">
        <f>$A833&amp;"-"&amp;$C833&amp;"-"&amp;TEXT(COUNTIFS($A$2:$A833,$A833,$C$2:$C833,$C833),"000")</f>
        <v>F2-SWF-060</v>
      </c>
      <c r="E833" s="7" t="s">
        <v>888</v>
      </c>
      <c r="F833" s="7" t="s">
        <v>827</v>
      </c>
      <c r="G833" s="7" t="s">
        <v>4</v>
      </c>
    </row>
    <row r="834" spans="1:7">
      <c r="A834" s="7" t="s">
        <v>503</v>
      </c>
      <c r="B834" s="7" t="s">
        <v>32</v>
      </c>
      <c r="C834" s="7" t="str">
        <f>VLOOKUP(B834,Indice!$B$1:$C$22,2,0)</f>
        <v>SWF</v>
      </c>
      <c r="D834" s="7" t="str">
        <f>$A834&amp;"-"&amp;$C834&amp;"-"&amp;TEXT(COUNTIFS($A$2:$A834,$A834,$C$2:$C834,$C834),"000")</f>
        <v>F2-SWF-061</v>
      </c>
      <c r="E834" s="7" t="s">
        <v>889</v>
      </c>
      <c r="F834" s="7" t="s">
        <v>827</v>
      </c>
      <c r="G834" s="7" t="s">
        <v>4</v>
      </c>
    </row>
    <row r="835" spans="1:7">
      <c r="A835" s="7" t="s">
        <v>503</v>
      </c>
      <c r="B835" s="7" t="s">
        <v>32</v>
      </c>
      <c r="C835" s="7" t="str">
        <f>VLOOKUP(B835,Indice!$B$1:$C$22,2,0)</f>
        <v>SWF</v>
      </c>
      <c r="D835" s="7" t="str">
        <f>$A835&amp;"-"&amp;$C835&amp;"-"&amp;TEXT(COUNTIFS($A$2:$A835,$A835,$C$2:$C835,$C835),"000")</f>
        <v>F2-SWF-062</v>
      </c>
      <c r="E835" s="7" t="s">
        <v>890</v>
      </c>
      <c r="F835" s="7" t="s">
        <v>827</v>
      </c>
      <c r="G835" s="7" t="s">
        <v>4</v>
      </c>
    </row>
    <row r="836" spans="1:7">
      <c r="A836" s="7" t="s">
        <v>503</v>
      </c>
      <c r="B836" s="7" t="s">
        <v>32</v>
      </c>
      <c r="C836" s="7" t="str">
        <f>VLOOKUP(B836,Indice!$B$1:$C$22,2,0)</f>
        <v>SWF</v>
      </c>
      <c r="D836" s="7" t="str">
        <f>$A836&amp;"-"&amp;$C836&amp;"-"&amp;TEXT(COUNTIFS($A$2:$A836,$A836,$C$2:$C836,$C836),"000")</f>
        <v>F2-SWF-063</v>
      </c>
      <c r="E836" s="7" t="s">
        <v>891</v>
      </c>
      <c r="F836" s="7" t="s">
        <v>892</v>
      </c>
      <c r="G836" s="7" t="s">
        <v>3</v>
      </c>
    </row>
    <row r="837" spans="1:7">
      <c r="A837" s="7" t="s">
        <v>503</v>
      </c>
      <c r="B837" s="7" t="s">
        <v>32</v>
      </c>
      <c r="C837" s="7" t="str">
        <f>VLOOKUP(B837,Indice!$B$1:$C$22,2,0)</f>
        <v>SWF</v>
      </c>
      <c r="D837" s="7" t="str">
        <f>$A837&amp;"-"&amp;$C837&amp;"-"&amp;TEXT(COUNTIFS($A$2:$A837,$A837,$C$2:$C837,$C837),"000")</f>
        <v>F2-SWF-064</v>
      </c>
      <c r="E837" s="7" t="s">
        <v>893</v>
      </c>
      <c r="F837" s="7" t="s">
        <v>892</v>
      </c>
      <c r="G837" s="7" t="s">
        <v>3</v>
      </c>
    </row>
    <row r="838" spans="1:7">
      <c r="A838" s="7" t="s">
        <v>503</v>
      </c>
      <c r="B838" s="7" t="s">
        <v>32</v>
      </c>
      <c r="C838" s="7" t="str">
        <f>VLOOKUP(B838,Indice!$B$1:$C$22,2,0)</f>
        <v>SWF</v>
      </c>
      <c r="D838" s="7" t="str">
        <f>$A838&amp;"-"&amp;$C838&amp;"-"&amp;TEXT(COUNTIFS($A$2:$A838,$A838,$C$2:$C838,$C838),"000")</f>
        <v>F2-SWF-065</v>
      </c>
      <c r="E838" s="7" t="s">
        <v>894</v>
      </c>
      <c r="F838" s="7" t="s">
        <v>895</v>
      </c>
      <c r="G838" s="7" t="s">
        <v>896</v>
      </c>
    </row>
    <row r="839" spans="1:7">
      <c r="A839" s="7" t="s">
        <v>503</v>
      </c>
      <c r="B839" s="7" t="s">
        <v>32</v>
      </c>
      <c r="C839" s="7" t="str">
        <f>VLOOKUP(B839,Indice!$B$1:$C$22,2,0)</f>
        <v>SWF</v>
      </c>
      <c r="D839" s="7" t="str">
        <f>$A839&amp;"-"&amp;$C839&amp;"-"&amp;TEXT(COUNTIFS($A$2:$A839,$A839,$C$2:$C839,$C839),"000")</f>
        <v>F2-SWF-066</v>
      </c>
      <c r="E839" s="7" t="s">
        <v>897</v>
      </c>
      <c r="F839" s="7" t="s">
        <v>895</v>
      </c>
      <c r="G839" s="7" t="s">
        <v>7</v>
      </c>
    </row>
    <row r="840" spans="1:7">
      <c r="A840" s="7" t="s">
        <v>503</v>
      </c>
      <c r="B840" s="7" t="s">
        <v>32</v>
      </c>
      <c r="C840" s="7" t="str">
        <f>VLOOKUP(B840,Indice!$B$1:$C$22,2,0)</f>
        <v>SWF</v>
      </c>
      <c r="D840" s="7" t="str">
        <f>$A840&amp;"-"&amp;$C840&amp;"-"&amp;TEXT(COUNTIFS($A$2:$A840,$A840,$C$2:$C840,$C840),"000")</f>
        <v>F2-SWF-067</v>
      </c>
      <c r="E840" s="7" t="s">
        <v>898</v>
      </c>
      <c r="F840" s="7" t="s">
        <v>895</v>
      </c>
      <c r="G840" s="7" t="s">
        <v>7</v>
      </c>
    </row>
    <row r="841" spans="1:7">
      <c r="A841" s="7" t="s">
        <v>503</v>
      </c>
      <c r="B841" s="7" t="s">
        <v>32</v>
      </c>
      <c r="C841" s="7" t="str">
        <f>VLOOKUP(B841,Indice!$B$1:$C$22,2,0)</f>
        <v>SWF</v>
      </c>
      <c r="D841" s="7" t="str">
        <f>$A841&amp;"-"&amp;$C841&amp;"-"&amp;TEXT(COUNTIFS($A$2:$A841,$A841,$C$2:$C841,$C841),"000")</f>
        <v>F2-SWF-068</v>
      </c>
      <c r="E841" s="7" t="s">
        <v>899</v>
      </c>
      <c r="F841" s="7" t="s">
        <v>895</v>
      </c>
      <c r="G841" s="7" t="s">
        <v>7</v>
      </c>
    </row>
    <row r="842" spans="1:7">
      <c r="A842" s="7" t="s">
        <v>503</v>
      </c>
      <c r="B842" s="7" t="s">
        <v>32</v>
      </c>
      <c r="C842" s="7" t="str">
        <f>VLOOKUP(B842,Indice!$B$1:$C$22,2,0)</f>
        <v>SWF</v>
      </c>
      <c r="D842" s="7" t="str">
        <f>$A842&amp;"-"&amp;$C842&amp;"-"&amp;TEXT(COUNTIFS($A$2:$A842,$A842,$C$2:$C842,$C842),"000")</f>
        <v>F2-SWF-069</v>
      </c>
      <c r="E842" s="7" t="s">
        <v>900</v>
      </c>
      <c r="F842" s="7" t="s">
        <v>885</v>
      </c>
      <c r="G842" s="7" t="s">
        <v>3</v>
      </c>
    </row>
    <row r="843" spans="1:7">
      <c r="A843" s="7" t="s">
        <v>503</v>
      </c>
      <c r="B843" s="7" t="s">
        <v>32</v>
      </c>
      <c r="C843" s="7" t="str">
        <f>VLOOKUP(B843,Indice!$B$1:$C$22,2,0)</f>
        <v>SWF</v>
      </c>
      <c r="D843" s="7" t="str">
        <f>$A843&amp;"-"&amp;$C843&amp;"-"&amp;TEXT(COUNTIFS($A$2:$A843,$A843,$C$2:$C843,$C843),"000")</f>
        <v>F2-SWF-070</v>
      </c>
      <c r="E843" s="7" t="s">
        <v>901</v>
      </c>
      <c r="F843" s="7" t="s">
        <v>885</v>
      </c>
      <c r="G843" s="7" t="s">
        <v>3</v>
      </c>
    </row>
    <row r="844" spans="1:7">
      <c r="A844" s="7" t="s">
        <v>503</v>
      </c>
      <c r="B844" s="7" t="s">
        <v>32</v>
      </c>
      <c r="C844" s="7" t="str">
        <f>VLOOKUP(B844,Indice!$B$1:$C$22,2,0)</f>
        <v>SWF</v>
      </c>
      <c r="D844" s="7" t="str">
        <f>$A844&amp;"-"&amp;$C844&amp;"-"&amp;TEXT(COUNTIFS($A$2:$A844,$A844,$C$2:$C844,$C844),"000")</f>
        <v>F2-SWF-071</v>
      </c>
      <c r="E844" s="7" t="s">
        <v>902</v>
      </c>
      <c r="F844" s="7" t="s">
        <v>895</v>
      </c>
      <c r="G844" s="7" t="s">
        <v>7</v>
      </c>
    </row>
    <row r="845" spans="1:7">
      <c r="A845" s="7" t="s">
        <v>503</v>
      </c>
      <c r="B845" s="7" t="s">
        <v>32</v>
      </c>
      <c r="C845" s="7" t="str">
        <f>VLOOKUP(B845,Indice!$B$1:$C$22,2,0)</f>
        <v>SWF</v>
      </c>
      <c r="D845" s="7" t="str">
        <f>$A845&amp;"-"&amp;$C845&amp;"-"&amp;TEXT(COUNTIFS($A$2:$A845,$A845,$C$2:$C845,$C845),"000")</f>
        <v>F2-SWF-072</v>
      </c>
      <c r="E845" s="7" t="s">
        <v>903</v>
      </c>
      <c r="F845" s="7" t="s">
        <v>892</v>
      </c>
      <c r="G845" s="7" t="s">
        <v>3</v>
      </c>
    </row>
    <row r="846" spans="1:7">
      <c r="A846" s="7" t="s">
        <v>503</v>
      </c>
      <c r="B846" s="7" t="s">
        <v>32</v>
      </c>
      <c r="C846" s="7" t="str">
        <f>VLOOKUP(B846,Indice!$B$1:$C$22,2,0)</f>
        <v>SWF</v>
      </c>
      <c r="D846" s="7" t="str">
        <f>$A846&amp;"-"&amp;$C846&amp;"-"&amp;TEXT(COUNTIFS($A$2:$A846,$A846,$C$2:$C846,$C846),"000")</f>
        <v>F2-SWF-073</v>
      </c>
      <c r="E846" s="7" t="s">
        <v>904</v>
      </c>
      <c r="F846" s="7" t="s">
        <v>885</v>
      </c>
      <c r="G846" s="7" t="s">
        <v>3</v>
      </c>
    </row>
    <row r="847" spans="1:7">
      <c r="A847" s="7" t="s">
        <v>503</v>
      </c>
      <c r="B847" s="7" t="s">
        <v>32</v>
      </c>
      <c r="C847" s="7" t="str">
        <f>VLOOKUP(B847,Indice!$B$1:$C$22,2,0)</f>
        <v>SWF</v>
      </c>
      <c r="D847" s="7" t="str">
        <f>$A847&amp;"-"&amp;$C847&amp;"-"&amp;TEXT(COUNTIFS($A$2:$A847,$A847,$C$2:$C847,$C847),"000")</f>
        <v>F2-SWF-074</v>
      </c>
      <c r="E847" s="7" t="s">
        <v>905</v>
      </c>
      <c r="F847" s="7" t="s">
        <v>885</v>
      </c>
      <c r="G847" s="7" t="s">
        <v>3</v>
      </c>
    </row>
    <row r="848" spans="1:7">
      <c r="A848" s="7" t="s">
        <v>503</v>
      </c>
      <c r="B848" s="7" t="s">
        <v>32</v>
      </c>
      <c r="C848" s="7" t="str">
        <f>VLOOKUP(B848,Indice!$B$1:$C$22,2,0)</f>
        <v>SWF</v>
      </c>
      <c r="D848" s="7" t="str">
        <f>$A848&amp;"-"&amp;$C848&amp;"-"&amp;TEXT(COUNTIFS($A$2:$A848,$A848,$C$2:$C848,$C848),"000")</f>
        <v>F2-SWF-075</v>
      </c>
      <c r="E848" s="7" t="s">
        <v>906</v>
      </c>
      <c r="F848" s="7" t="s">
        <v>861</v>
      </c>
      <c r="G848" s="7" t="s">
        <v>3</v>
      </c>
    </row>
    <row r="849" spans="1:7">
      <c r="A849" s="7" t="s">
        <v>503</v>
      </c>
      <c r="B849" s="7" t="s">
        <v>32</v>
      </c>
      <c r="C849" s="7" t="str">
        <f>VLOOKUP(B849,Indice!$B$1:$C$22,2,0)</f>
        <v>SWF</v>
      </c>
      <c r="D849" s="7" t="str">
        <f>$A849&amp;"-"&amp;$C849&amp;"-"&amp;TEXT(COUNTIFS($A$2:$A849,$A849,$C$2:$C849,$C849),"000")</f>
        <v>F2-SWF-076</v>
      </c>
      <c r="E849" s="7" t="s">
        <v>907</v>
      </c>
      <c r="F849" s="7" t="s">
        <v>895</v>
      </c>
      <c r="G849" s="7" t="s">
        <v>7</v>
      </c>
    </row>
    <row r="850" spans="1:7">
      <c r="A850" s="7" t="s">
        <v>503</v>
      </c>
      <c r="B850" s="7" t="s">
        <v>32</v>
      </c>
      <c r="C850" s="7" t="str">
        <f>VLOOKUP(B850,Indice!$B$1:$C$22,2,0)</f>
        <v>SWF</v>
      </c>
      <c r="D850" s="7" t="str">
        <f>$A850&amp;"-"&amp;$C850&amp;"-"&amp;TEXT(COUNTIFS($A$2:$A850,$A850,$C$2:$C850,$C850),"000")</f>
        <v>F2-SWF-077</v>
      </c>
      <c r="E850" s="7" t="s">
        <v>908</v>
      </c>
      <c r="F850" s="7" t="s">
        <v>895</v>
      </c>
      <c r="G850" s="7" t="s">
        <v>7</v>
      </c>
    </row>
    <row r="851" spans="1:7">
      <c r="A851" s="7" t="s">
        <v>503</v>
      </c>
      <c r="B851" s="7" t="s">
        <v>32</v>
      </c>
      <c r="C851" s="7" t="str">
        <f>VLOOKUP(B851,Indice!$B$1:$C$22,2,0)</f>
        <v>SWF</v>
      </c>
      <c r="D851" s="7" t="str">
        <f>$A851&amp;"-"&amp;$C851&amp;"-"&amp;TEXT(COUNTIFS($A$2:$A851,$A851,$C$2:$C851,$C851),"000")</f>
        <v>F2-SWF-078</v>
      </c>
      <c r="E851" s="7" t="s">
        <v>909</v>
      </c>
      <c r="F851" s="7" t="s">
        <v>861</v>
      </c>
      <c r="G851" s="7" t="s">
        <v>3</v>
      </c>
    </row>
    <row r="852" spans="1:7">
      <c r="A852" s="7" t="s">
        <v>503</v>
      </c>
      <c r="B852" s="7" t="s">
        <v>32</v>
      </c>
      <c r="C852" s="7" t="str">
        <f>VLOOKUP(B852,Indice!$B$1:$C$22,2,0)</f>
        <v>SWF</v>
      </c>
      <c r="D852" s="7" t="str">
        <f>$A852&amp;"-"&amp;$C852&amp;"-"&amp;TEXT(COUNTIFS($A$2:$A852,$A852,$C$2:$C852,$C852),"000")</f>
        <v>F2-SWF-079</v>
      </c>
      <c r="E852" s="7" t="s">
        <v>910</v>
      </c>
      <c r="F852" s="7" t="s">
        <v>861</v>
      </c>
      <c r="G852" s="7" t="s">
        <v>3</v>
      </c>
    </row>
    <row r="853" spans="1:7">
      <c r="A853" s="7" t="s">
        <v>503</v>
      </c>
      <c r="B853" s="7" t="s">
        <v>32</v>
      </c>
      <c r="C853" s="7" t="str">
        <f>VLOOKUP(B853,Indice!$B$1:$C$22,2,0)</f>
        <v>SWF</v>
      </c>
      <c r="D853" s="7" t="str">
        <f>$A853&amp;"-"&amp;$C853&amp;"-"&amp;TEXT(COUNTIFS($A$2:$A853,$A853,$C$2:$C853,$C853),"000")</f>
        <v>F2-SWF-080</v>
      </c>
      <c r="E853" s="7" t="s">
        <v>911</v>
      </c>
      <c r="F853" s="7" t="s">
        <v>861</v>
      </c>
      <c r="G853" s="7" t="s">
        <v>3</v>
      </c>
    </row>
    <row r="854" spans="1:7">
      <c r="A854" s="7" t="s">
        <v>503</v>
      </c>
      <c r="B854" s="7" t="s">
        <v>32</v>
      </c>
      <c r="C854" s="7" t="str">
        <f>VLOOKUP(B854,Indice!$B$1:$C$22,2,0)</f>
        <v>SWF</v>
      </c>
      <c r="D854" s="7" t="str">
        <f>$A854&amp;"-"&amp;$C854&amp;"-"&amp;TEXT(COUNTIFS($A$2:$A854,$A854,$C$2:$C854,$C854),"000")</f>
        <v>F2-SWF-081</v>
      </c>
      <c r="E854" s="7" t="s">
        <v>912</v>
      </c>
      <c r="F854" s="7" t="s">
        <v>861</v>
      </c>
      <c r="G854" s="7" t="s">
        <v>3</v>
      </c>
    </row>
    <row r="855" spans="1:7">
      <c r="A855" s="7" t="s">
        <v>503</v>
      </c>
      <c r="B855" s="7" t="s">
        <v>32</v>
      </c>
      <c r="C855" s="7" t="str">
        <f>VLOOKUP(B855,Indice!$B$1:$C$22,2,0)</f>
        <v>SWF</v>
      </c>
      <c r="D855" s="7" t="str">
        <f>$A855&amp;"-"&amp;$C855&amp;"-"&amp;TEXT(COUNTIFS($A$2:$A855,$A855,$C$2:$C855,$C855),"000")</f>
        <v>F2-SWF-082</v>
      </c>
      <c r="E855" s="7" t="s">
        <v>913</v>
      </c>
      <c r="F855" s="7" t="s">
        <v>861</v>
      </c>
      <c r="G855" s="7" t="s">
        <v>3</v>
      </c>
    </row>
    <row r="856" spans="1:7">
      <c r="A856" s="7" t="s">
        <v>503</v>
      </c>
      <c r="B856" s="7" t="s">
        <v>32</v>
      </c>
      <c r="C856" s="7" t="str">
        <f>VLOOKUP(B856,Indice!$B$1:$C$22,2,0)</f>
        <v>SWF</v>
      </c>
      <c r="D856" s="7" t="str">
        <f>$A856&amp;"-"&amp;$C856&amp;"-"&amp;TEXT(COUNTIFS($A$2:$A856,$A856,$C$2:$C856,$C856),"000")</f>
        <v>F2-SWF-083</v>
      </c>
      <c r="E856" s="7" t="s">
        <v>914</v>
      </c>
      <c r="F856" s="7" t="s">
        <v>885</v>
      </c>
      <c r="G856" s="7" t="s">
        <v>3</v>
      </c>
    </row>
    <row r="857" spans="1:7">
      <c r="A857" s="7" t="s">
        <v>503</v>
      </c>
      <c r="B857" s="7" t="s">
        <v>32</v>
      </c>
      <c r="C857" s="7" t="str">
        <f>VLOOKUP(B857,Indice!$B$1:$C$22,2,0)</f>
        <v>SWF</v>
      </c>
      <c r="D857" s="7" t="str">
        <f>$A857&amp;"-"&amp;$C857&amp;"-"&amp;TEXT(COUNTIFS($A$2:$A857,$A857,$C$2:$C857,$C857),"000")</f>
        <v>F2-SWF-084</v>
      </c>
      <c r="E857" s="7" t="s">
        <v>915</v>
      </c>
      <c r="F857" s="7" t="s">
        <v>895</v>
      </c>
      <c r="G857" s="7" t="s">
        <v>7</v>
      </c>
    </row>
    <row r="858" spans="1:7">
      <c r="A858" s="7" t="s">
        <v>503</v>
      </c>
      <c r="B858" s="7" t="s">
        <v>32</v>
      </c>
      <c r="C858" s="7" t="str">
        <f>VLOOKUP(B858,Indice!$B$1:$C$22,2,0)</f>
        <v>SWF</v>
      </c>
      <c r="D858" s="7" t="str">
        <f>$A858&amp;"-"&amp;$C858&amp;"-"&amp;TEXT(COUNTIFS($A$2:$A858,$A858,$C$2:$C858,$C858),"000")</f>
        <v>F2-SWF-085</v>
      </c>
      <c r="E858" s="7" t="s">
        <v>916</v>
      </c>
      <c r="F858" s="7" t="s">
        <v>892</v>
      </c>
      <c r="G858" s="7" t="s">
        <v>3</v>
      </c>
    </row>
    <row r="859" spans="1:7">
      <c r="A859" s="7" t="s">
        <v>503</v>
      </c>
      <c r="B859" s="7" t="s">
        <v>32</v>
      </c>
      <c r="C859" s="7" t="str">
        <f>VLOOKUP(B859,Indice!$B$1:$C$22,2,0)</f>
        <v>SWF</v>
      </c>
      <c r="D859" s="7" t="str">
        <f>$A859&amp;"-"&amp;$C859&amp;"-"&amp;TEXT(COUNTIFS($A$2:$A859,$A859,$C$2:$C859,$C859),"000")</f>
        <v>F2-SWF-086</v>
      </c>
      <c r="E859" s="7" t="s">
        <v>917</v>
      </c>
      <c r="F859" s="7" t="s">
        <v>892</v>
      </c>
      <c r="G859" s="7" t="s">
        <v>3</v>
      </c>
    </row>
    <row r="860" spans="1:7">
      <c r="A860" s="7" t="s">
        <v>503</v>
      </c>
      <c r="B860" s="7" t="s">
        <v>32</v>
      </c>
      <c r="C860" s="7" t="str">
        <f>VLOOKUP(B860,Indice!$B$1:$C$22,2,0)</f>
        <v>SWF</v>
      </c>
      <c r="D860" s="7" t="str">
        <f>$A860&amp;"-"&amp;$C860&amp;"-"&amp;TEXT(COUNTIFS($A$2:$A860,$A860,$C$2:$C860,$C860),"000")</f>
        <v>F2-SWF-087</v>
      </c>
      <c r="E860" s="7" t="s">
        <v>918</v>
      </c>
      <c r="F860" s="7" t="s">
        <v>885</v>
      </c>
      <c r="G860" s="7" t="s">
        <v>3</v>
      </c>
    </row>
    <row r="861" spans="1:7">
      <c r="A861" s="7" t="s">
        <v>503</v>
      </c>
      <c r="B861" s="7" t="s">
        <v>32</v>
      </c>
      <c r="C861" s="7" t="str">
        <f>VLOOKUP(B861,Indice!$B$1:$C$22,2,0)</f>
        <v>SWF</v>
      </c>
      <c r="D861" s="7" t="str">
        <f>$A861&amp;"-"&amp;$C861&amp;"-"&amp;TEXT(COUNTIFS($A$2:$A861,$A861,$C$2:$C861,$C861),"000")</f>
        <v>F2-SWF-088</v>
      </c>
      <c r="E861" s="7" t="s">
        <v>919</v>
      </c>
      <c r="F861" s="7" t="s">
        <v>885</v>
      </c>
      <c r="G861" s="7" t="s">
        <v>3</v>
      </c>
    </row>
    <row r="862" spans="1:7">
      <c r="A862" s="7" t="s">
        <v>503</v>
      </c>
      <c r="B862" s="7" t="s">
        <v>32</v>
      </c>
      <c r="C862" s="7" t="str">
        <f>VLOOKUP(B862,Indice!$B$1:$C$22,2,0)</f>
        <v>SWF</v>
      </c>
      <c r="D862" s="7" t="str">
        <f>$A862&amp;"-"&amp;$C862&amp;"-"&amp;TEXT(COUNTIFS($A$2:$A862,$A862,$C$2:$C862,$C862),"000")</f>
        <v>F2-SWF-089</v>
      </c>
      <c r="E862" s="7" t="s">
        <v>920</v>
      </c>
      <c r="F862" s="7" t="s">
        <v>895</v>
      </c>
      <c r="G862" s="7" t="s">
        <v>7</v>
      </c>
    </row>
    <row r="863" spans="1:7">
      <c r="A863" s="7" t="s">
        <v>503</v>
      </c>
      <c r="B863" s="7" t="s">
        <v>32</v>
      </c>
      <c r="C863" s="7" t="str">
        <f>VLOOKUP(B863,Indice!$B$1:$C$22,2,0)</f>
        <v>SWF</v>
      </c>
      <c r="D863" s="7" t="str">
        <f>$A863&amp;"-"&amp;$C863&amp;"-"&amp;TEXT(COUNTIFS($A$2:$A863,$A863,$C$2:$C863,$C863),"000")</f>
        <v>F2-SWF-090</v>
      </c>
      <c r="E863" s="7" t="s">
        <v>921</v>
      </c>
      <c r="F863" s="7" t="s">
        <v>885</v>
      </c>
      <c r="G863" s="7" t="s">
        <v>3</v>
      </c>
    </row>
    <row r="864" spans="1:7">
      <c r="A864" s="7" t="s">
        <v>503</v>
      </c>
      <c r="B864" s="7" t="s">
        <v>32</v>
      </c>
      <c r="C864" s="7" t="str">
        <f>VLOOKUP(B864,Indice!$B$1:$C$22,2,0)</f>
        <v>SWF</v>
      </c>
      <c r="D864" s="7" t="str">
        <f>$A864&amp;"-"&amp;$C864&amp;"-"&amp;TEXT(COUNTIFS($A$2:$A864,$A864,$C$2:$C864,$C864),"000")</f>
        <v>F2-SWF-091</v>
      </c>
      <c r="E864" s="7" t="s">
        <v>922</v>
      </c>
      <c r="F864" s="7" t="s">
        <v>885</v>
      </c>
      <c r="G864" s="7" t="s">
        <v>3</v>
      </c>
    </row>
    <row r="865" spans="1:7">
      <c r="A865" s="7" t="s">
        <v>503</v>
      </c>
      <c r="B865" s="7" t="s">
        <v>32</v>
      </c>
      <c r="C865" s="7" t="str">
        <f>VLOOKUP(B865,Indice!$B$1:$C$22,2,0)</f>
        <v>SWF</v>
      </c>
      <c r="D865" s="7" t="str">
        <f>$A865&amp;"-"&amp;$C865&amp;"-"&amp;TEXT(COUNTIFS($A$2:$A865,$A865,$C$2:$C865,$C865),"000")</f>
        <v>F2-SWF-092</v>
      </c>
      <c r="E865" s="7" t="s">
        <v>923</v>
      </c>
      <c r="F865" s="7" t="s">
        <v>885</v>
      </c>
      <c r="G865" s="7" t="s">
        <v>3</v>
      </c>
    </row>
    <row r="866" spans="1:7">
      <c r="A866" s="7" t="s">
        <v>503</v>
      </c>
      <c r="B866" s="7" t="s">
        <v>32</v>
      </c>
      <c r="C866" s="7" t="str">
        <f>VLOOKUP(B866,Indice!$B$1:$C$22,2,0)</f>
        <v>SWF</v>
      </c>
      <c r="D866" s="7" t="str">
        <f>$A866&amp;"-"&amp;$C866&amp;"-"&amp;TEXT(COUNTIFS($A$2:$A866,$A866,$C$2:$C866,$C866),"000")</f>
        <v>F2-SWF-093</v>
      </c>
      <c r="E866" s="7" t="s">
        <v>924</v>
      </c>
      <c r="F866" s="7" t="s">
        <v>885</v>
      </c>
      <c r="G866" s="7" t="s">
        <v>3</v>
      </c>
    </row>
    <row r="867" spans="1:7">
      <c r="A867" s="7" t="s">
        <v>503</v>
      </c>
      <c r="B867" s="7" t="s">
        <v>32</v>
      </c>
      <c r="C867" s="7" t="str">
        <f>VLOOKUP(B867,Indice!$B$1:$C$22,2,0)</f>
        <v>SWF</v>
      </c>
      <c r="D867" s="7" t="str">
        <f>$A867&amp;"-"&amp;$C867&amp;"-"&amp;TEXT(COUNTIFS($A$2:$A867,$A867,$C$2:$C867,$C867),"000")</f>
        <v>F2-SWF-094</v>
      </c>
      <c r="E867" s="7" t="s">
        <v>925</v>
      </c>
      <c r="F867" s="7" t="s">
        <v>885</v>
      </c>
      <c r="G867" s="7" t="s">
        <v>3</v>
      </c>
    </row>
    <row r="868" spans="1:7">
      <c r="A868" s="7" t="s">
        <v>503</v>
      </c>
      <c r="B868" s="7" t="s">
        <v>32</v>
      </c>
      <c r="C868" s="7" t="str">
        <f>VLOOKUP(B868,Indice!$B$1:$C$22,2,0)</f>
        <v>SWF</v>
      </c>
      <c r="D868" s="7" t="str">
        <f>$A868&amp;"-"&amp;$C868&amp;"-"&amp;TEXT(COUNTIFS($A$2:$A868,$A868,$C$2:$C868,$C868),"000")</f>
        <v>F2-SWF-095</v>
      </c>
      <c r="E868" s="7" t="s">
        <v>926</v>
      </c>
      <c r="F868" s="7" t="s">
        <v>885</v>
      </c>
      <c r="G868" s="7" t="s">
        <v>3</v>
      </c>
    </row>
    <row r="869" spans="1:7">
      <c r="A869" s="7" t="s">
        <v>503</v>
      </c>
      <c r="B869" s="7" t="s">
        <v>32</v>
      </c>
      <c r="C869" s="7" t="str">
        <f>VLOOKUP(B869,Indice!$B$1:$C$22,2,0)</f>
        <v>SWF</v>
      </c>
      <c r="D869" s="7" t="str">
        <f>$A869&amp;"-"&amp;$C869&amp;"-"&amp;TEXT(COUNTIFS($A$2:$A869,$A869,$C$2:$C869,$C869),"000")</f>
        <v>F2-SWF-096</v>
      </c>
      <c r="E869" s="7" t="s">
        <v>927</v>
      </c>
      <c r="F869" s="7" t="s">
        <v>827</v>
      </c>
      <c r="G869" s="7" t="s">
        <v>4</v>
      </c>
    </row>
    <row r="870" spans="1:7">
      <c r="A870" s="7" t="s">
        <v>503</v>
      </c>
      <c r="B870" s="7" t="s">
        <v>32</v>
      </c>
      <c r="C870" s="7" t="str">
        <f>VLOOKUP(B870,Indice!$B$1:$C$22,2,0)</f>
        <v>SWF</v>
      </c>
      <c r="D870" s="7" t="str">
        <f>$A870&amp;"-"&amp;$C870&amp;"-"&amp;TEXT(COUNTIFS($A$2:$A870,$A870,$C$2:$C870,$C870),"000")</f>
        <v>F2-SWF-097</v>
      </c>
      <c r="E870" s="7" t="s">
        <v>928</v>
      </c>
      <c r="F870" s="7" t="s">
        <v>827</v>
      </c>
      <c r="G870" s="7" t="s">
        <v>4</v>
      </c>
    </row>
    <row r="871" spans="1:7">
      <c r="A871" s="7" t="s">
        <v>503</v>
      </c>
      <c r="B871" s="7" t="s">
        <v>32</v>
      </c>
      <c r="C871" s="7" t="str">
        <f>VLOOKUP(B871,Indice!$B$1:$C$22,2,0)</f>
        <v>SWF</v>
      </c>
      <c r="D871" s="7" t="str">
        <f>$A871&amp;"-"&amp;$C871&amp;"-"&amp;TEXT(COUNTIFS($A$2:$A871,$A871,$C$2:$C871,$C871),"000")</f>
        <v>F2-SWF-098</v>
      </c>
      <c r="E871" s="7" t="s">
        <v>929</v>
      </c>
      <c r="F871" s="7" t="s">
        <v>885</v>
      </c>
      <c r="G871" s="7" t="s">
        <v>3</v>
      </c>
    </row>
    <row r="872" spans="1:7">
      <c r="A872" s="7" t="s">
        <v>503</v>
      </c>
      <c r="B872" s="7" t="s">
        <v>32</v>
      </c>
      <c r="C872" s="7" t="str">
        <f>VLOOKUP(B872,Indice!$B$1:$C$22,2,0)</f>
        <v>SWF</v>
      </c>
      <c r="D872" s="7" t="str">
        <f>$A872&amp;"-"&amp;$C872&amp;"-"&amp;TEXT(COUNTIFS($A$2:$A872,$A872,$C$2:$C872,$C872),"000")</f>
        <v>F2-SWF-099</v>
      </c>
      <c r="E872" s="7" t="s">
        <v>930</v>
      </c>
      <c r="F872" s="7" t="s">
        <v>885</v>
      </c>
      <c r="G872" s="7" t="s">
        <v>3</v>
      </c>
    </row>
    <row r="873" spans="1:7">
      <c r="A873" s="7" t="s">
        <v>503</v>
      </c>
      <c r="B873" s="7" t="s">
        <v>32</v>
      </c>
      <c r="C873" s="7" t="str">
        <f>VLOOKUP(B873,Indice!$B$1:$C$22,2,0)</f>
        <v>SWF</v>
      </c>
      <c r="D873" s="7" t="str">
        <f>$A873&amp;"-"&amp;$C873&amp;"-"&amp;TEXT(COUNTIFS($A$2:$A873,$A873,$C$2:$C873,$C873),"000")</f>
        <v>F2-SWF-100</v>
      </c>
      <c r="E873" s="7" t="s">
        <v>931</v>
      </c>
      <c r="F873" s="7" t="s">
        <v>885</v>
      </c>
      <c r="G873" s="7" t="s">
        <v>3</v>
      </c>
    </row>
    <row r="874" spans="1:7">
      <c r="A874" s="7" t="s">
        <v>503</v>
      </c>
      <c r="B874" s="7" t="s">
        <v>32</v>
      </c>
      <c r="C874" s="7" t="str">
        <f>VLOOKUP(B874,Indice!$B$1:$C$22,2,0)</f>
        <v>SWF</v>
      </c>
      <c r="D874" s="7" t="str">
        <f>$A874&amp;"-"&amp;$C874&amp;"-"&amp;TEXT(COUNTIFS($A$2:$A874,$A874,$C$2:$C874,$C874),"000")</f>
        <v>F2-SWF-101</v>
      </c>
      <c r="E874" s="7" t="s">
        <v>932</v>
      </c>
      <c r="F874" s="7" t="s">
        <v>861</v>
      </c>
      <c r="G874" s="7" t="s">
        <v>3</v>
      </c>
    </row>
    <row r="875" spans="1:7">
      <c r="A875" s="7" t="s">
        <v>503</v>
      </c>
      <c r="B875" s="7" t="s">
        <v>32</v>
      </c>
      <c r="C875" s="7" t="str">
        <f>VLOOKUP(B875,Indice!$B$1:$C$22,2,0)</f>
        <v>SWF</v>
      </c>
      <c r="D875" s="7" t="str">
        <f>$A875&amp;"-"&amp;$C875&amp;"-"&amp;TEXT(COUNTIFS($A$2:$A875,$A875,$C$2:$C875,$C875),"000")</f>
        <v>F2-SWF-102</v>
      </c>
      <c r="E875" s="7" t="s">
        <v>933</v>
      </c>
      <c r="F875" s="7" t="s">
        <v>892</v>
      </c>
      <c r="G875" s="7" t="s">
        <v>3</v>
      </c>
    </row>
    <row r="876" spans="1:7">
      <c r="A876" s="7" t="s">
        <v>503</v>
      </c>
      <c r="B876" s="7" t="s">
        <v>32</v>
      </c>
      <c r="C876" s="7" t="str">
        <f>VLOOKUP(B876,Indice!$B$1:$C$22,2,0)</f>
        <v>SWF</v>
      </c>
      <c r="D876" s="7" t="str">
        <f>$A876&amp;"-"&amp;$C876&amp;"-"&amp;TEXT(COUNTIFS($A$2:$A876,$A876,$C$2:$C876,$C876),"000")</f>
        <v>F2-SWF-103</v>
      </c>
      <c r="E876" s="7" t="s">
        <v>934</v>
      </c>
      <c r="F876" s="7" t="s">
        <v>892</v>
      </c>
      <c r="G876" s="7" t="s">
        <v>3</v>
      </c>
    </row>
    <row r="877" spans="1:7">
      <c r="A877" s="7" t="s">
        <v>503</v>
      </c>
      <c r="B877" s="7" t="s">
        <v>32</v>
      </c>
      <c r="C877" s="7" t="str">
        <f>VLOOKUP(B877,Indice!$B$1:$C$22,2,0)</f>
        <v>SWF</v>
      </c>
      <c r="D877" s="7" t="str">
        <f>$A877&amp;"-"&amp;$C877&amp;"-"&amp;TEXT(COUNTIFS($A$2:$A877,$A877,$C$2:$C877,$C877),"000")</f>
        <v>F2-SWF-104</v>
      </c>
      <c r="E877" s="7" t="s">
        <v>935</v>
      </c>
      <c r="F877" s="7" t="s">
        <v>892</v>
      </c>
      <c r="G877" s="7" t="s">
        <v>3</v>
      </c>
    </row>
    <row r="878" spans="1:7">
      <c r="A878" s="7" t="s">
        <v>503</v>
      </c>
      <c r="B878" s="7" t="s">
        <v>32</v>
      </c>
      <c r="C878" s="7" t="str">
        <f>VLOOKUP(B878,Indice!$B$1:$C$22,2,0)</f>
        <v>SWF</v>
      </c>
      <c r="D878" s="7" t="str">
        <f>$A878&amp;"-"&amp;$C878&amp;"-"&amp;TEXT(COUNTIFS($A$2:$A878,$A878,$C$2:$C878,$C878),"000")</f>
        <v>F2-SWF-105</v>
      </c>
      <c r="E878" s="7" t="s">
        <v>936</v>
      </c>
      <c r="F878" s="7" t="s">
        <v>892</v>
      </c>
      <c r="G878" s="7" t="s">
        <v>3</v>
      </c>
    </row>
    <row r="879" spans="1:7">
      <c r="A879" s="7" t="s">
        <v>503</v>
      </c>
      <c r="B879" s="7" t="s">
        <v>32</v>
      </c>
      <c r="C879" s="7" t="str">
        <f>VLOOKUP(B879,Indice!$B$1:$C$22,2,0)</f>
        <v>SWF</v>
      </c>
      <c r="D879" s="7" t="str">
        <f>$A879&amp;"-"&amp;$C879&amp;"-"&amp;TEXT(COUNTIFS($A$2:$A879,$A879,$C$2:$C879,$C879),"000")</f>
        <v>F2-SWF-106</v>
      </c>
      <c r="E879" s="7" t="s">
        <v>937</v>
      </c>
      <c r="F879" s="7" t="s">
        <v>892</v>
      </c>
      <c r="G879" s="7" t="s">
        <v>3</v>
      </c>
    </row>
    <row r="880" spans="1:7">
      <c r="A880" s="7" t="s">
        <v>503</v>
      </c>
      <c r="B880" s="7" t="s">
        <v>32</v>
      </c>
      <c r="C880" s="7" t="str">
        <f>VLOOKUP(B880,Indice!$B$1:$C$22,2,0)</f>
        <v>SWF</v>
      </c>
      <c r="D880" s="7" t="str">
        <f>$A880&amp;"-"&amp;$C880&amp;"-"&amp;TEXT(COUNTIFS($A$2:$A880,$A880,$C$2:$C880,$C880),"000")</f>
        <v>F2-SWF-107</v>
      </c>
      <c r="E880" s="7" t="s">
        <v>938</v>
      </c>
      <c r="F880" s="7" t="s">
        <v>892</v>
      </c>
      <c r="G880" s="7" t="s">
        <v>3</v>
      </c>
    </row>
    <row r="881" spans="1:7">
      <c r="A881" s="7" t="s">
        <v>503</v>
      </c>
      <c r="B881" s="7" t="s">
        <v>32</v>
      </c>
      <c r="C881" s="7" t="str">
        <f>VLOOKUP(B881,Indice!$B$1:$C$22,2,0)</f>
        <v>SWF</v>
      </c>
      <c r="D881" s="7" t="str">
        <f>$A881&amp;"-"&amp;$C881&amp;"-"&amp;TEXT(COUNTIFS($A$2:$A881,$A881,$C$2:$C881,$C881),"000")</f>
        <v>F2-SWF-108</v>
      </c>
      <c r="E881" s="7" t="s">
        <v>939</v>
      </c>
      <c r="F881" s="7" t="s">
        <v>892</v>
      </c>
      <c r="G881" s="7" t="s">
        <v>3</v>
      </c>
    </row>
    <row r="882" spans="1:7">
      <c r="A882" s="7" t="s">
        <v>503</v>
      </c>
      <c r="B882" s="7" t="s">
        <v>32</v>
      </c>
      <c r="C882" s="7" t="str">
        <f>VLOOKUP(B882,Indice!$B$1:$C$22,2,0)</f>
        <v>SWF</v>
      </c>
      <c r="D882" s="7" t="str">
        <f>$A882&amp;"-"&amp;$C882&amp;"-"&amp;TEXT(COUNTIFS($A$2:$A882,$A882,$C$2:$C882,$C882),"000")</f>
        <v>F2-SWF-109</v>
      </c>
      <c r="E882" s="7" t="s">
        <v>940</v>
      </c>
      <c r="F882" s="7" t="s">
        <v>892</v>
      </c>
      <c r="G882" s="7" t="s">
        <v>3</v>
      </c>
    </row>
    <row r="883" spans="1:7">
      <c r="A883" s="7" t="s">
        <v>503</v>
      </c>
      <c r="B883" s="7" t="s">
        <v>32</v>
      </c>
      <c r="C883" s="7" t="str">
        <f>VLOOKUP(B883,Indice!$B$1:$C$22,2,0)</f>
        <v>SWF</v>
      </c>
      <c r="D883" s="7" t="str">
        <f>$A883&amp;"-"&amp;$C883&amp;"-"&amp;TEXT(COUNTIFS($A$2:$A883,$A883,$C$2:$C883,$C883),"000")</f>
        <v>F2-SWF-110</v>
      </c>
      <c r="E883" s="7" t="s">
        <v>941</v>
      </c>
      <c r="F883" s="7" t="s">
        <v>892</v>
      </c>
      <c r="G883" s="7" t="s">
        <v>3</v>
      </c>
    </row>
    <row r="884" spans="1:7">
      <c r="A884" s="7" t="s">
        <v>503</v>
      </c>
      <c r="B884" s="7" t="s">
        <v>32</v>
      </c>
      <c r="C884" s="7" t="str">
        <f>VLOOKUP(B884,Indice!$B$1:$C$22,2,0)</f>
        <v>SWF</v>
      </c>
      <c r="D884" s="7" t="str">
        <f>$A884&amp;"-"&amp;$C884&amp;"-"&amp;TEXT(COUNTIFS($A$2:$A884,$A884,$C$2:$C884,$C884),"000")</f>
        <v>F2-SWF-111</v>
      </c>
      <c r="E884" s="7" t="s">
        <v>942</v>
      </c>
      <c r="F884" s="7" t="s">
        <v>892</v>
      </c>
      <c r="G884" s="7" t="s">
        <v>3</v>
      </c>
    </row>
    <row r="885" spans="1:7">
      <c r="A885" s="7" t="s">
        <v>503</v>
      </c>
      <c r="B885" s="7" t="s">
        <v>32</v>
      </c>
      <c r="C885" s="7" t="str">
        <f>VLOOKUP(B885,Indice!$B$1:$C$22,2,0)</f>
        <v>SWF</v>
      </c>
      <c r="D885" s="7" t="str">
        <f>$A885&amp;"-"&amp;$C885&amp;"-"&amp;TEXT(COUNTIFS($A$2:$A885,$A885,$C$2:$C885,$C885),"000")</f>
        <v>F2-SWF-112</v>
      </c>
      <c r="E885" s="7" t="s">
        <v>943</v>
      </c>
      <c r="F885" s="7" t="s">
        <v>892</v>
      </c>
      <c r="G885" s="7" t="s">
        <v>3</v>
      </c>
    </row>
    <row r="886" spans="1:7">
      <c r="A886" s="7" t="s">
        <v>503</v>
      </c>
      <c r="B886" s="7" t="s">
        <v>32</v>
      </c>
      <c r="C886" s="7" t="str">
        <f>VLOOKUP(B886,Indice!$B$1:$C$22,2,0)</f>
        <v>SWF</v>
      </c>
      <c r="D886" s="7" t="str">
        <f>$A886&amp;"-"&amp;$C886&amp;"-"&amp;TEXT(COUNTIFS($A$2:$A886,$A886,$C$2:$C886,$C886),"000")</f>
        <v>F2-SWF-113</v>
      </c>
      <c r="E886" s="7" t="s">
        <v>944</v>
      </c>
      <c r="F886" s="7" t="s">
        <v>945</v>
      </c>
      <c r="G886" s="7" t="s">
        <v>8</v>
      </c>
    </row>
    <row r="887" spans="1:7">
      <c r="A887" s="7" t="s">
        <v>503</v>
      </c>
      <c r="B887" s="7" t="s">
        <v>32</v>
      </c>
      <c r="C887" s="7" t="str">
        <f>VLOOKUP(B887,Indice!$B$1:$C$22,2,0)</f>
        <v>SWF</v>
      </c>
      <c r="D887" s="7" t="str">
        <f>$A887&amp;"-"&amp;$C887&amp;"-"&amp;TEXT(COUNTIFS($A$2:$A887,$A887,$C$2:$C887,$C887),"000")</f>
        <v>F2-SWF-114</v>
      </c>
      <c r="E887" s="7" t="s">
        <v>946</v>
      </c>
      <c r="F887" s="7" t="s">
        <v>861</v>
      </c>
      <c r="G887" s="7" t="s">
        <v>3</v>
      </c>
    </row>
    <row r="888" spans="1:7">
      <c r="A888" s="7" t="s">
        <v>503</v>
      </c>
      <c r="B888" s="7" t="s">
        <v>32</v>
      </c>
      <c r="C888" s="7" t="str">
        <f>VLOOKUP(B888,Indice!$B$1:$C$22,2,0)</f>
        <v>SWF</v>
      </c>
      <c r="D888" s="7" t="str">
        <f>$A888&amp;"-"&amp;$C888&amp;"-"&amp;TEXT(COUNTIFS($A$2:$A888,$A888,$C$2:$C888,$C888),"000")</f>
        <v>F2-SWF-115</v>
      </c>
      <c r="E888" s="7" t="s">
        <v>947</v>
      </c>
      <c r="F888" s="7" t="s">
        <v>861</v>
      </c>
      <c r="G888" s="7" t="s">
        <v>3</v>
      </c>
    </row>
    <row r="889" spans="1:7">
      <c r="A889" s="7" t="s">
        <v>503</v>
      </c>
      <c r="B889" s="7" t="s">
        <v>32</v>
      </c>
      <c r="C889" s="7" t="str">
        <f>VLOOKUP(B889,Indice!$B$1:$C$22,2,0)</f>
        <v>SWF</v>
      </c>
      <c r="D889" s="7" t="str">
        <f>$A889&amp;"-"&amp;$C889&amp;"-"&amp;TEXT(COUNTIFS($A$2:$A889,$A889,$C$2:$C889,$C889),"000")</f>
        <v>F2-SWF-116</v>
      </c>
      <c r="E889" s="7" t="s">
        <v>948</v>
      </c>
      <c r="F889" s="7" t="s">
        <v>861</v>
      </c>
      <c r="G889" s="7" t="s">
        <v>3</v>
      </c>
    </row>
    <row r="890" spans="1:7">
      <c r="A890" s="7" t="s">
        <v>503</v>
      </c>
      <c r="B890" s="7" t="s">
        <v>32</v>
      </c>
      <c r="C890" s="7" t="str">
        <f>VLOOKUP(B890,Indice!$B$1:$C$22,2,0)</f>
        <v>SWF</v>
      </c>
      <c r="D890" s="7" t="str">
        <f>$A890&amp;"-"&amp;$C890&amp;"-"&amp;TEXT(COUNTIFS($A$2:$A890,$A890,$C$2:$C890,$C890),"000")</f>
        <v>F2-SWF-117</v>
      </c>
      <c r="E890" s="7" t="s">
        <v>949</v>
      </c>
      <c r="F890" s="7" t="s">
        <v>861</v>
      </c>
      <c r="G890" s="7" t="s">
        <v>3</v>
      </c>
    </row>
    <row r="891" spans="1:7">
      <c r="A891" s="7" t="s">
        <v>503</v>
      </c>
      <c r="B891" s="7" t="s">
        <v>32</v>
      </c>
      <c r="C891" s="7" t="str">
        <f>VLOOKUP(B891,Indice!$B$1:$C$22,2,0)</f>
        <v>SWF</v>
      </c>
      <c r="D891" s="7" t="str">
        <f>$A891&amp;"-"&amp;$C891&amp;"-"&amp;TEXT(COUNTIFS($A$2:$A891,$A891,$C$2:$C891,$C891),"000")</f>
        <v>F2-SWF-118</v>
      </c>
      <c r="E891" s="7" t="s">
        <v>950</v>
      </c>
      <c r="F891" s="7" t="s">
        <v>861</v>
      </c>
      <c r="G891" s="7" t="s">
        <v>3</v>
      </c>
    </row>
    <row r="892" spans="1:7">
      <c r="A892" s="7" t="s">
        <v>503</v>
      </c>
      <c r="B892" s="7" t="s">
        <v>32</v>
      </c>
      <c r="C892" s="7" t="str">
        <f>VLOOKUP(B892,Indice!$B$1:$C$22,2,0)</f>
        <v>SWF</v>
      </c>
      <c r="D892" s="7" t="str">
        <f>$A892&amp;"-"&amp;$C892&amp;"-"&amp;TEXT(COUNTIFS($A$2:$A892,$A892,$C$2:$C892,$C892),"000")</f>
        <v>F2-SWF-119</v>
      </c>
      <c r="E892" s="7" t="s">
        <v>951</v>
      </c>
      <c r="F892" s="7" t="s">
        <v>861</v>
      </c>
      <c r="G892" s="7" t="s">
        <v>3</v>
      </c>
    </row>
    <row r="893" spans="1:7">
      <c r="A893" s="7" t="s">
        <v>503</v>
      </c>
      <c r="B893" s="7" t="s">
        <v>32</v>
      </c>
      <c r="C893" s="7" t="str">
        <f>VLOOKUP(B893,Indice!$B$1:$C$22,2,0)</f>
        <v>SWF</v>
      </c>
      <c r="D893" s="7" t="str">
        <f>$A893&amp;"-"&amp;$C893&amp;"-"&amp;TEXT(COUNTIFS($A$2:$A893,$A893,$C$2:$C893,$C893),"000")</f>
        <v>F2-SWF-120</v>
      </c>
      <c r="E893" s="7" t="s">
        <v>952</v>
      </c>
      <c r="F893" s="7" t="s">
        <v>861</v>
      </c>
      <c r="G893" s="7" t="s">
        <v>3</v>
      </c>
    </row>
    <row r="894" spans="1:7">
      <c r="A894" s="7" t="s">
        <v>503</v>
      </c>
      <c r="B894" s="7" t="s">
        <v>32</v>
      </c>
      <c r="C894" s="7" t="str">
        <f>VLOOKUP(B894,Indice!$B$1:$C$22,2,0)</f>
        <v>SWF</v>
      </c>
      <c r="D894" s="7" t="str">
        <f>$A894&amp;"-"&amp;$C894&amp;"-"&amp;TEXT(COUNTIFS($A$2:$A894,$A894,$C$2:$C894,$C894),"000")</f>
        <v>F2-SWF-121</v>
      </c>
      <c r="E894" s="7" t="s">
        <v>953</v>
      </c>
      <c r="F894" s="7" t="s">
        <v>861</v>
      </c>
      <c r="G894" s="7" t="s">
        <v>3</v>
      </c>
    </row>
    <row r="895" spans="1:7">
      <c r="A895" s="7" t="s">
        <v>503</v>
      </c>
      <c r="B895" s="7" t="s">
        <v>32</v>
      </c>
      <c r="C895" s="7" t="str">
        <f>VLOOKUP(B895,Indice!$B$1:$C$22,2,0)</f>
        <v>SWF</v>
      </c>
      <c r="D895" s="7" t="str">
        <f>$A895&amp;"-"&amp;$C895&amp;"-"&amp;TEXT(COUNTIFS($A$2:$A895,$A895,$C$2:$C895,$C895),"000")</f>
        <v>F2-SWF-122</v>
      </c>
      <c r="E895" s="7" t="s">
        <v>954</v>
      </c>
      <c r="F895" s="7" t="s">
        <v>861</v>
      </c>
      <c r="G895" s="7" t="s">
        <v>3</v>
      </c>
    </row>
    <row r="896" spans="1:7">
      <c r="A896" s="7" t="s">
        <v>503</v>
      </c>
      <c r="B896" s="7" t="s">
        <v>32</v>
      </c>
      <c r="C896" s="7" t="str">
        <f>VLOOKUP(B896,Indice!$B$1:$C$22,2,0)</f>
        <v>SWF</v>
      </c>
      <c r="D896" s="7" t="str">
        <f>$A896&amp;"-"&amp;$C896&amp;"-"&amp;TEXT(COUNTIFS($A$2:$A896,$A896,$C$2:$C896,$C896),"000")</f>
        <v>F2-SWF-123</v>
      </c>
      <c r="E896" s="7" t="s">
        <v>955</v>
      </c>
      <c r="F896" s="7" t="s">
        <v>861</v>
      </c>
      <c r="G896" s="7" t="s">
        <v>3</v>
      </c>
    </row>
    <row r="897" spans="1:7">
      <c r="A897" s="7" t="s">
        <v>503</v>
      </c>
      <c r="B897" s="7" t="s">
        <v>32</v>
      </c>
      <c r="C897" s="7" t="str">
        <f>VLOOKUP(B897,Indice!$B$1:$C$22,2,0)</f>
        <v>SWF</v>
      </c>
      <c r="D897" s="7" t="str">
        <f>$A897&amp;"-"&amp;$C897&amp;"-"&amp;TEXT(COUNTIFS($A$2:$A897,$A897,$C$2:$C897,$C897),"000")</f>
        <v>F2-SWF-124</v>
      </c>
      <c r="E897" s="7" t="s">
        <v>956</v>
      </c>
      <c r="F897" s="7" t="s">
        <v>861</v>
      </c>
      <c r="G897" s="7" t="s">
        <v>3</v>
      </c>
    </row>
    <row r="898" spans="1:7">
      <c r="A898" s="7" t="s">
        <v>503</v>
      </c>
      <c r="B898" s="7" t="s">
        <v>32</v>
      </c>
      <c r="C898" s="7" t="str">
        <f>VLOOKUP(B898,Indice!$B$1:$C$22,2,0)</f>
        <v>SWF</v>
      </c>
      <c r="D898" s="7" t="str">
        <f>$A898&amp;"-"&amp;$C898&amp;"-"&amp;TEXT(COUNTIFS($A$2:$A898,$A898,$C$2:$C898,$C898),"000")</f>
        <v>F2-SWF-125</v>
      </c>
      <c r="E898" s="7" t="s">
        <v>957</v>
      </c>
      <c r="F898" s="7" t="s">
        <v>827</v>
      </c>
      <c r="G898" s="7" t="s">
        <v>4</v>
      </c>
    </row>
    <row r="899" spans="1:7">
      <c r="A899" s="7" t="s">
        <v>503</v>
      </c>
      <c r="B899" s="7" t="s">
        <v>32</v>
      </c>
      <c r="C899" s="7" t="str">
        <f>VLOOKUP(B899,Indice!$B$1:$C$22,2,0)</f>
        <v>SWF</v>
      </c>
      <c r="D899" s="7" t="str">
        <f>$A899&amp;"-"&amp;$C899&amp;"-"&amp;TEXT(COUNTIFS($A$2:$A899,$A899,$C$2:$C899,$C899),"000")</f>
        <v>F2-SWF-126</v>
      </c>
      <c r="E899" s="7" t="s">
        <v>958</v>
      </c>
      <c r="F899" s="7" t="s">
        <v>885</v>
      </c>
      <c r="G899" s="7" t="s">
        <v>3</v>
      </c>
    </row>
    <row r="900" spans="1:7">
      <c r="A900" s="7" t="s">
        <v>503</v>
      </c>
      <c r="B900" s="7" t="s">
        <v>32</v>
      </c>
      <c r="C900" s="7" t="str">
        <f>VLOOKUP(B900,Indice!$B$1:$C$22,2,0)</f>
        <v>SWF</v>
      </c>
      <c r="D900" s="7" t="str">
        <f>$A900&amp;"-"&amp;$C900&amp;"-"&amp;TEXT(COUNTIFS($A$2:$A900,$A900,$C$2:$C900,$C900),"000")</f>
        <v>F2-SWF-127</v>
      </c>
      <c r="E900" s="7" t="s">
        <v>959</v>
      </c>
      <c r="F900" s="7" t="s">
        <v>885</v>
      </c>
      <c r="G900" s="7" t="s">
        <v>3</v>
      </c>
    </row>
    <row r="901" spans="1:7">
      <c r="A901" s="7" t="s">
        <v>503</v>
      </c>
      <c r="B901" s="7" t="s">
        <v>32</v>
      </c>
      <c r="C901" s="7" t="str">
        <f>VLOOKUP(B901,Indice!$B$1:$C$22,2,0)</f>
        <v>SWF</v>
      </c>
      <c r="D901" s="7" t="str">
        <f>$A901&amp;"-"&amp;$C901&amp;"-"&amp;TEXT(COUNTIFS($A$2:$A901,$A901,$C$2:$C901,$C901),"000")</f>
        <v>F2-SWF-128</v>
      </c>
      <c r="E901" s="7" t="s">
        <v>960</v>
      </c>
      <c r="F901" s="7" t="s">
        <v>885</v>
      </c>
      <c r="G901" s="7" t="s">
        <v>3</v>
      </c>
    </row>
    <row r="902" spans="1:7">
      <c r="A902" s="7" t="s">
        <v>503</v>
      </c>
      <c r="B902" s="7" t="s">
        <v>32</v>
      </c>
      <c r="C902" s="7" t="str">
        <f>VLOOKUP(B902,Indice!$B$1:$C$22,2,0)</f>
        <v>SWF</v>
      </c>
      <c r="D902" s="7" t="str">
        <f>$A902&amp;"-"&amp;$C902&amp;"-"&amp;TEXT(COUNTIFS($A$2:$A902,$A902,$C$2:$C902,$C902),"000")</f>
        <v>F2-SWF-129</v>
      </c>
      <c r="E902" s="7" t="s">
        <v>961</v>
      </c>
      <c r="F902" s="7" t="s">
        <v>885</v>
      </c>
      <c r="G902" s="7" t="s">
        <v>3</v>
      </c>
    </row>
    <row r="903" spans="1:7">
      <c r="A903" s="7" t="s">
        <v>503</v>
      </c>
      <c r="B903" s="7" t="s">
        <v>32</v>
      </c>
      <c r="C903" s="7" t="str">
        <f>VLOOKUP(B903,Indice!$B$1:$C$22,2,0)</f>
        <v>SWF</v>
      </c>
      <c r="D903" s="7" t="str">
        <f>$A903&amp;"-"&amp;$C903&amp;"-"&amp;TEXT(COUNTIFS($A$2:$A903,$A903,$C$2:$C903,$C903),"000")</f>
        <v>F2-SWF-130</v>
      </c>
      <c r="E903" s="7" t="s">
        <v>962</v>
      </c>
      <c r="F903" s="7" t="s">
        <v>945</v>
      </c>
      <c r="G903" s="7" t="s">
        <v>5</v>
      </c>
    </row>
    <row r="904" spans="1:7">
      <c r="A904" s="7" t="s">
        <v>503</v>
      </c>
      <c r="B904" s="7" t="s">
        <v>32</v>
      </c>
      <c r="C904" s="7" t="str">
        <f>VLOOKUP(B904,Indice!$B$1:$C$22,2,0)</f>
        <v>SWF</v>
      </c>
      <c r="D904" s="7" t="str">
        <f>$A904&amp;"-"&amp;$C904&amp;"-"&amp;TEXT(COUNTIFS($A$2:$A904,$A904,$C$2:$C904,$C904),"000")</f>
        <v>F2-SWF-131</v>
      </c>
      <c r="E904" s="7" t="s">
        <v>963</v>
      </c>
      <c r="F904" s="7" t="s">
        <v>945</v>
      </c>
      <c r="G904" s="7" t="s">
        <v>4</v>
      </c>
    </row>
    <row r="905" spans="1:7">
      <c r="A905" s="7" t="s">
        <v>503</v>
      </c>
      <c r="B905" s="7" t="s">
        <v>32</v>
      </c>
      <c r="C905" s="7" t="str">
        <f>VLOOKUP(B905,Indice!$B$1:$C$22,2,0)</f>
        <v>SWF</v>
      </c>
      <c r="D905" s="7" t="str">
        <f>$A905&amp;"-"&amp;$C905&amp;"-"&amp;TEXT(COUNTIFS($A$2:$A905,$A905,$C$2:$C905,$C905),"000")</f>
        <v>F2-SWF-132</v>
      </c>
      <c r="E905" s="7" t="s">
        <v>964</v>
      </c>
      <c r="F905" s="7" t="s">
        <v>827</v>
      </c>
      <c r="G905" s="7" t="s">
        <v>4</v>
      </c>
    </row>
    <row r="906" spans="1:7">
      <c r="A906" s="7" t="s">
        <v>503</v>
      </c>
      <c r="B906" s="7" t="s">
        <v>32</v>
      </c>
      <c r="C906" s="7" t="str">
        <f>VLOOKUP(B906,Indice!$B$1:$C$22,2,0)</f>
        <v>SWF</v>
      </c>
      <c r="D906" s="7" t="str">
        <f>$A906&amp;"-"&amp;$C906&amp;"-"&amp;TEXT(COUNTIFS($A$2:$A906,$A906,$C$2:$C906,$C906),"000")</f>
        <v>F2-SWF-133</v>
      </c>
      <c r="E906" s="7" t="s">
        <v>965</v>
      </c>
      <c r="F906" s="7" t="s">
        <v>885</v>
      </c>
      <c r="G906" s="7" t="s">
        <v>3</v>
      </c>
    </row>
    <row r="907" spans="1:7">
      <c r="A907" s="7" t="s">
        <v>503</v>
      </c>
      <c r="B907" s="7" t="s">
        <v>32</v>
      </c>
      <c r="C907" s="7" t="str">
        <f>VLOOKUP(B907,Indice!$B$1:$C$22,2,0)</f>
        <v>SWF</v>
      </c>
      <c r="D907" s="7" t="str">
        <f>$A907&amp;"-"&amp;$C907&amp;"-"&amp;TEXT(COUNTIFS($A$2:$A907,$A907,$C$2:$C907,$C907),"000")</f>
        <v>F2-SWF-134</v>
      </c>
      <c r="E907" s="7" t="s">
        <v>966</v>
      </c>
      <c r="F907" s="7" t="s">
        <v>885</v>
      </c>
      <c r="G907" s="7" t="s">
        <v>3</v>
      </c>
    </row>
    <row r="908" spans="1:7">
      <c r="A908" s="7" t="s">
        <v>503</v>
      </c>
      <c r="B908" s="7" t="s">
        <v>32</v>
      </c>
      <c r="C908" s="7" t="str">
        <f>VLOOKUP(B908,Indice!$B$1:$C$22,2,0)</f>
        <v>SWF</v>
      </c>
      <c r="D908" s="7" t="str">
        <f>$A908&amp;"-"&amp;$C908&amp;"-"&amp;TEXT(COUNTIFS($A$2:$A908,$A908,$C$2:$C908,$C908),"000")</f>
        <v>F2-SWF-135</v>
      </c>
      <c r="E908" s="7" t="s">
        <v>967</v>
      </c>
      <c r="F908" s="7" t="s">
        <v>885</v>
      </c>
      <c r="G908" s="7" t="s">
        <v>3</v>
      </c>
    </row>
    <row r="909" spans="1:7">
      <c r="A909" s="7" t="s">
        <v>503</v>
      </c>
      <c r="B909" s="7" t="s">
        <v>34</v>
      </c>
      <c r="C909" s="7" t="str">
        <f>VLOOKUP(B909,Indice!$B$1:$C$22,2,0)</f>
        <v>UNOOSA</v>
      </c>
      <c r="D909" s="7" t="str">
        <f>$A909&amp;"-"&amp;$C909&amp;"-"&amp;TEXT(COUNTIFS($A$2:$A909,$A909,$C$2:$C909,$C909),"000")</f>
        <v>F2-UNOOSA-001</v>
      </c>
      <c r="E909" s="7" t="s">
        <v>968</v>
      </c>
      <c r="F909" s="7" t="s">
        <v>969</v>
      </c>
      <c r="G909" s="7" t="s">
        <v>3</v>
      </c>
    </row>
    <row r="910" spans="1:7">
      <c r="A910" s="7" t="s">
        <v>503</v>
      </c>
      <c r="B910" s="7" t="s">
        <v>34</v>
      </c>
      <c r="C910" s="7" t="str">
        <f>VLOOKUP(B910,Indice!$B$1:$C$22,2,0)</f>
        <v>UNOOSA</v>
      </c>
      <c r="D910" s="7" t="str">
        <f>$A910&amp;"-"&amp;$C910&amp;"-"&amp;TEXT(COUNTIFS($A$2:$A910,$A910,$C$2:$C910,$C910),"000")</f>
        <v>F2-UNOOSA-002</v>
      </c>
      <c r="E910" s="7" t="s">
        <v>970</v>
      </c>
      <c r="F910" s="7" t="s">
        <v>971</v>
      </c>
      <c r="G910" s="7" t="s">
        <v>3</v>
      </c>
    </row>
    <row r="911" spans="1:7">
      <c r="A911" s="7" t="s">
        <v>503</v>
      </c>
      <c r="B911" s="7" t="s">
        <v>34</v>
      </c>
      <c r="C911" s="7" t="str">
        <f>VLOOKUP(B911,Indice!$B$1:$C$22,2,0)</f>
        <v>UNOOSA</v>
      </c>
      <c r="D911" s="7" t="str">
        <f>$A911&amp;"-"&amp;$C911&amp;"-"&amp;TEXT(COUNTIFS($A$2:$A911,$A911,$C$2:$C911,$C911),"000")</f>
        <v>F2-UNOOSA-003</v>
      </c>
      <c r="E911" s="7" t="s">
        <v>972</v>
      </c>
      <c r="F911" s="7" t="s">
        <v>973</v>
      </c>
      <c r="G911" s="7" t="s">
        <v>3</v>
      </c>
    </row>
    <row r="912" spans="1:7">
      <c r="A912" s="7" t="s">
        <v>503</v>
      </c>
      <c r="B912" s="7" t="s">
        <v>34</v>
      </c>
      <c r="C912" s="7" t="str">
        <f>VLOOKUP(B912,Indice!$B$1:$C$22,2,0)</f>
        <v>UNOOSA</v>
      </c>
      <c r="D912" s="7" t="str">
        <f>$A912&amp;"-"&amp;$C912&amp;"-"&amp;TEXT(COUNTIFS($A$2:$A912,$A912,$C$2:$C912,$C912),"000")</f>
        <v>F2-UNOOSA-004</v>
      </c>
      <c r="E912" s="7" t="s">
        <v>974</v>
      </c>
      <c r="F912" s="7" t="s">
        <v>975</v>
      </c>
      <c r="G912" s="7" t="s">
        <v>3</v>
      </c>
    </row>
    <row r="913" spans="1:7">
      <c r="A913" s="7" t="s">
        <v>503</v>
      </c>
      <c r="B913" s="7" t="s">
        <v>34</v>
      </c>
      <c r="C913" s="7" t="str">
        <f>VLOOKUP(B913,Indice!$B$1:$C$22,2,0)</f>
        <v>UNOOSA</v>
      </c>
      <c r="D913" s="7" t="str">
        <f>$A913&amp;"-"&amp;$C913&amp;"-"&amp;TEXT(COUNTIFS($A$2:$A913,$A913,$C$2:$C913,$C913),"000")</f>
        <v>F2-UNOOSA-005</v>
      </c>
      <c r="E913" s="7" t="s">
        <v>976</v>
      </c>
      <c r="F913" s="7" t="s">
        <v>977</v>
      </c>
      <c r="G913" s="7" t="s">
        <v>3</v>
      </c>
    </row>
    <row r="914" spans="1:7">
      <c r="A914" s="7" t="s">
        <v>503</v>
      </c>
      <c r="B914" s="7" t="s">
        <v>34</v>
      </c>
      <c r="C914" s="7" t="str">
        <f>VLOOKUP(B914,Indice!$B$1:$C$22,2,0)</f>
        <v>UNOOSA</v>
      </c>
      <c r="D914" s="7" t="str">
        <f>$A914&amp;"-"&amp;$C914&amp;"-"&amp;TEXT(COUNTIFS($A$2:$A914,$A914,$C$2:$C914,$C914),"000")</f>
        <v>F2-UNOOSA-006</v>
      </c>
      <c r="E914" s="7" t="s">
        <v>978</v>
      </c>
      <c r="F914" s="7" t="s">
        <v>979</v>
      </c>
      <c r="G914" s="7" t="s">
        <v>3</v>
      </c>
    </row>
    <row r="915" spans="1:7">
      <c r="A915" s="7" t="s">
        <v>503</v>
      </c>
      <c r="B915" s="7" t="s">
        <v>34</v>
      </c>
      <c r="C915" s="7" t="str">
        <f>VLOOKUP(B915,Indice!$B$1:$C$22,2,0)</f>
        <v>UNOOSA</v>
      </c>
      <c r="D915" s="7" t="str">
        <f>$A915&amp;"-"&amp;$C915&amp;"-"&amp;TEXT(COUNTIFS($A$2:$A915,$A915,$C$2:$C915,$C915),"000")</f>
        <v>F2-UNOOSA-007</v>
      </c>
      <c r="E915" s="7" t="s">
        <v>980</v>
      </c>
      <c r="F915" s="7" t="s">
        <v>979</v>
      </c>
      <c r="G915" s="7" t="s">
        <v>3</v>
      </c>
    </row>
    <row r="916" spans="1:7">
      <c r="A916" s="7" t="s">
        <v>503</v>
      </c>
      <c r="B916" s="7" t="s">
        <v>34</v>
      </c>
      <c r="C916" s="7" t="str">
        <f>VLOOKUP(B916,Indice!$B$1:$C$22,2,0)</f>
        <v>UNOOSA</v>
      </c>
      <c r="D916" s="7" t="str">
        <f>$A916&amp;"-"&amp;$C916&amp;"-"&amp;TEXT(COUNTIFS($A$2:$A916,$A916,$C$2:$C916,$C916),"000")</f>
        <v>F2-UNOOSA-008</v>
      </c>
      <c r="E916" s="7" t="s">
        <v>981</v>
      </c>
      <c r="F916" s="7" t="s">
        <v>982</v>
      </c>
      <c r="G916" s="7" t="s">
        <v>3</v>
      </c>
    </row>
    <row r="917" spans="1:7">
      <c r="A917" s="7" t="s">
        <v>503</v>
      </c>
      <c r="B917" s="7" t="s">
        <v>34</v>
      </c>
      <c r="C917" s="7" t="str">
        <f>VLOOKUP(B917,Indice!$B$1:$C$22,2,0)</f>
        <v>UNOOSA</v>
      </c>
      <c r="D917" s="7" t="str">
        <f>$A917&amp;"-"&amp;$C917&amp;"-"&amp;TEXT(COUNTIFS($A$2:$A917,$A917,$C$2:$C917,$C917),"000")</f>
        <v>F2-UNOOSA-009</v>
      </c>
      <c r="E917" s="7" t="s">
        <v>983</v>
      </c>
      <c r="F917" s="7" t="s">
        <v>979</v>
      </c>
      <c r="G917" s="7" t="s">
        <v>3</v>
      </c>
    </row>
    <row r="918" spans="1:7">
      <c r="A918" s="7" t="s">
        <v>503</v>
      </c>
      <c r="B918" s="7" t="s">
        <v>34</v>
      </c>
      <c r="C918" s="7" t="str">
        <f>VLOOKUP(B918,Indice!$B$1:$C$22,2,0)</f>
        <v>UNOOSA</v>
      </c>
      <c r="D918" s="7" t="str">
        <f>$A918&amp;"-"&amp;$C918&amp;"-"&amp;TEXT(COUNTIFS($A$2:$A918,$A918,$C$2:$C918,$C918),"000")</f>
        <v>F2-UNOOSA-010</v>
      </c>
      <c r="E918" s="7" t="s">
        <v>984</v>
      </c>
      <c r="F918" s="7" t="s">
        <v>973</v>
      </c>
      <c r="G918" s="7" t="s">
        <v>3</v>
      </c>
    </row>
    <row r="919" spans="1:7">
      <c r="A919" s="7" t="s">
        <v>503</v>
      </c>
      <c r="B919" s="7" t="s">
        <v>34</v>
      </c>
      <c r="C919" s="7" t="str">
        <f>VLOOKUP(B919,Indice!$B$1:$C$22,2,0)</f>
        <v>UNOOSA</v>
      </c>
      <c r="D919" s="7" t="str">
        <f>$A919&amp;"-"&amp;$C919&amp;"-"&amp;TEXT(COUNTIFS($A$2:$A919,$A919,$C$2:$C919,$C919),"000")</f>
        <v>F2-UNOOSA-011</v>
      </c>
      <c r="E919" s="7" t="s">
        <v>985</v>
      </c>
      <c r="F919" s="7" t="s">
        <v>973</v>
      </c>
      <c r="G919" s="7" t="s">
        <v>3</v>
      </c>
    </row>
    <row r="920" spans="1:7">
      <c r="A920" s="7" t="s">
        <v>503</v>
      </c>
      <c r="B920" s="7" t="s">
        <v>34</v>
      </c>
      <c r="C920" s="7" t="str">
        <f>VLOOKUP(B920,Indice!$B$1:$C$22,2,0)</f>
        <v>UNOOSA</v>
      </c>
      <c r="D920" s="7" t="str">
        <f>$A920&amp;"-"&amp;$C920&amp;"-"&amp;TEXT(COUNTIFS($A$2:$A920,$A920,$C$2:$C920,$C920),"000")</f>
        <v>F2-UNOOSA-012</v>
      </c>
      <c r="E920" s="7" t="s">
        <v>986</v>
      </c>
      <c r="F920" s="7" t="s">
        <v>973</v>
      </c>
      <c r="G920" s="7" t="s">
        <v>3</v>
      </c>
    </row>
    <row r="921" spans="1:7">
      <c r="A921" s="7" t="s">
        <v>503</v>
      </c>
      <c r="B921" s="7" t="s">
        <v>34</v>
      </c>
      <c r="C921" s="7" t="str">
        <f>VLOOKUP(B921,Indice!$B$1:$C$22,2,0)</f>
        <v>UNOOSA</v>
      </c>
      <c r="D921" s="7" t="str">
        <f>$A921&amp;"-"&amp;$C921&amp;"-"&amp;TEXT(COUNTIFS($A$2:$A921,$A921,$C$2:$C921,$C921),"000")</f>
        <v>F2-UNOOSA-013</v>
      </c>
      <c r="E921" s="7" t="s">
        <v>987</v>
      </c>
      <c r="F921" s="7" t="s">
        <v>975</v>
      </c>
      <c r="G921" s="7" t="s">
        <v>3</v>
      </c>
    </row>
    <row r="922" spans="1:7">
      <c r="A922" s="7" t="s">
        <v>503</v>
      </c>
      <c r="B922" s="7" t="s">
        <v>34</v>
      </c>
      <c r="C922" s="7" t="str">
        <f>VLOOKUP(B922,Indice!$B$1:$C$22,2,0)</f>
        <v>UNOOSA</v>
      </c>
      <c r="D922" s="7" t="str">
        <f>$A922&amp;"-"&amp;$C922&amp;"-"&amp;TEXT(COUNTIFS($A$2:$A922,$A922,$C$2:$C922,$C922),"000")</f>
        <v>F2-UNOOSA-014</v>
      </c>
      <c r="E922" s="7" t="s">
        <v>988</v>
      </c>
      <c r="F922" s="7" t="s">
        <v>975</v>
      </c>
      <c r="G922" s="7" t="s">
        <v>3</v>
      </c>
    </row>
    <row r="923" spans="1:7">
      <c r="A923" s="7" t="s">
        <v>503</v>
      </c>
      <c r="B923" s="7" t="s">
        <v>34</v>
      </c>
      <c r="C923" s="7" t="str">
        <f>VLOOKUP(B923,Indice!$B$1:$C$22,2,0)</f>
        <v>UNOOSA</v>
      </c>
      <c r="D923" s="7" t="str">
        <f>$A923&amp;"-"&amp;$C923&amp;"-"&amp;TEXT(COUNTIFS($A$2:$A923,$A923,$C$2:$C923,$C923),"000")</f>
        <v>F2-UNOOSA-015</v>
      </c>
      <c r="E923" s="7" t="s">
        <v>989</v>
      </c>
      <c r="F923" s="7" t="s">
        <v>975</v>
      </c>
      <c r="G923" s="7" t="s">
        <v>3</v>
      </c>
    </row>
    <row r="924" spans="1:7">
      <c r="A924" s="7" t="s">
        <v>503</v>
      </c>
      <c r="B924" s="7" t="s">
        <v>34</v>
      </c>
      <c r="C924" s="7" t="str">
        <f>VLOOKUP(B924,Indice!$B$1:$C$22,2,0)</f>
        <v>UNOOSA</v>
      </c>
      <c r="D924" s="7" t="str">
        <f>$A924&amp;"-"&amp;$C924&amp;"-"&amp;TEXT(COUNTIFS($A$2:$A924,$A924,$C$2:$C924,$C924),"000")</f>
        <v>F2-UNOOSA-016</v>
      </c>
      <c r="E924" s="7" t="s">
        <v>990</v>
      </c>
      <c r="F924" s="7" t="s">
        <v>975</v>
      </c>
      <c r="G924" s="7" t="s">
        <v>3</v>
      </c>
    </row>
    <row r="925" spans="1:7">
      <c r="A925" s="7" t="s">
        <v>503</v>
      </c>
      <c r="B925" s="7" t="s">
        <v>34</v>
      </c>
      <c r="C925" s="7" t="str">
        <f>VLOOKUP(B925,Indice!$B$1:$C$22,2,0)</f>
        <v>UNOOSA</v>
      </c>
      <c r="D925" s="7" t="str">
        <f>$A925&amp;"-"&amp;$C925&amp;"-"&amp;TEXT(COUNTIFS($A$2:$A925,$A925,$C$2:$C925,$C925),"000")</f>
        <v>F2-UNOOSA-017</v>
      </c>
      <c r="E925" s="7" t="s">
        <v>991</v>
      </c>
      <c r="F925" s="7" t="s">
        <v>975</v>
      </c>
      <c r="G925" s="7" t="s">
        <v>3</v>
      </c>
    </row>
    <row r="926" spans="1:7">
      <c r="A926" s="7" t="s">
        <v>503</v>
      </c>
      <c r="B926" s="7" t="s">
        <v>34</v>
      </c>
      <c r="C926" s="7" t="str">
        <f>VLOOKUP(B926,Indice!$B$1:$C$22,2,0)</f>
        <v>UNOOSA</v>
      </c>
      <c r="D926" s="7" t="str">
        <f>$A926&amp;"-"&amp;$C926&amp;"-"&amp;TEXT(COUNTIFS($A$2:$A926,$A926,$C$2:$C926,$C926),"000")</f>
        <v>F2-UNOOSA-018</v>
      </c>
      <c r="E926" s="7" t="s">
        <v>992</v>
      </c>
      <c r="F926" s="7" t="s">
        <v>975</v>
      </c>
      <c r="G926" s="7" t="s">
        <v>3</v>
      </c>
    </row>
    <row r="927" spans="1:7">
      <c r="A927" s="7" t="s">
        <v>503</v>
      </c>
      <c r="B927" s="7" t="s">
        <v>34</v>
      </c>
      <c r="C927" s="7" t="str">
        <f>VLOOKUP(B927,Indice!$B$1:$C$22,2,0)</f>
        <v>UNOOSA</v>
      </c>
      <c r="D927" s="7" t="str">
        <f>$A927&amp;"-"&amp;$C927&amp;"-"&amp;TEXT(COUNTIFS($A$2:$A927,$A927,$C$2:$C927,$C927),"000")</f>
        <v>F2-UNOOSA-019</v>
      </c>
      <c r="E927" s="7" t="s">
        <v>993</v>
      </c>
      <c r="F927" s="7" t="s">
        <v>977</v>
      </c>
      <c r="G927" s="7" t="s">
        <v>3</v>
      </c>
    </row>
    <row r="928" spans="1:7">
      <c r="A928" s="7" t="s">
        <v>503</v>
      </c>
      <c r="B928" s="7" t="s">
        <v>34</v>
      </c>
      <c r="C928" s="7" t="str">
        <f>VLOOKUP(B928,Indice!$B$1:$C$22,2,0)</f>
        <v>UNOOSA</v>
      </c>
      <c r="D928" s="7" t="str">
        <f>$A928&amp;"-"&amp;$C928&amp;"-"&amp;TEXT(COUNTIFS($A$2:$A928,$A928,$C$2:$C928,$C928),"000")</f>
        <v>F2-UNOOSA-020</v>
      </c>
      <c r="E928" s="7" t="s">
        <v>994</v>
      </c>
      <c r="F928" s="7" t="s">
        <v>973</v>
      </c>
      <c r="G928" s="7" t="s">
        <v>3</v>
      </c>
    </row>
    <row r="929" spans="1:7">
      <c r="A929" s="7" t="s">
        <v>503</v>
      </c>
      <c r="B929" s="7" t="s">
        <v>34</v>
      </c>
      <c r="C929" s="7" t="str">
        <f>VLOOKUP(B929,Indice!$B$1:$C$22,2,0)</f>
        <v>UNOOSA</v>
      </c>
      <c r="D929" s="7" t="str">
        <f>$A929&amp;"-"&amp;$C929&amp;"-"&amp;TEXT(COUNTIFS($A$2:$A929,$A929,$C$2:$C929,$C929),"000")</f>
        <v>F2-UNOOSA-021</v>
      </c>
      <c r="E929" s="7" t="s">
        <v>995</v>
      </c>
      <c r="F929" s="7" t="s">
        <v>975</v>
      </c>
      <c r="G929" s="7" t="s">
        <v>3</v>
      </c>
    </row>
    <row r="930" spans="1:7">
      <c r="A930" s="7" t="s">
        <v>503</v>
      </c>
      <c r="B930" s="7" t="s">
        <v>34</v>
      </c>
      <c r="C930" s="7" t="str">
        <f>VLOOKUP(B930,Indice!$B$1:$C$22,2,0)</f>
        <v>UNOOSA</v>
      </c>
      <c r="D930" s="7" t="str">
        <f>$A930&amp;"-"&amp;$C930&amp;"-"&amp;TEXT(COUNTIFS($A$2:$A930,$A930,$C$2:$C930,$C930),"000")</f>
        <v>F2-UNOOSA-022</v>
      </c>
      <c r="E930" s="7" t="s">
        <v>996</v>
      </c>
      <c r="F930" s="7" t="s">
        <v>975</v>
      </c>
      <c r="G930" s="7" t="s">
        <v>3</v>
      </c>
    </row>
    <row r="931" spans="1:7">
      <c r="A931" s="7" t="s">
        <v>503</v>
      </c>
      <c r="B931" s="7" t="s">
        <v>34</v>
      </c>
      <c r="C931" s="7" t="str">
        <f>VLOOKUP(B931,Indice!$B$1:$C$22,2,0)</f>
        <v>UNOOSA</v>
      </c>
      <c r="D931" s="7" t="str">
        <f>$A931&amp;"-"&amp;$C931&amp;"-"&amp;TEXT(COUNTIFS($A$2:$A931,$A931,$C$2:$C931,$C931),"000")</f>
        <v>F2-UNOOSA-023</v>
      </c>
      <c r="E931" s="7" t="s">
        <v>997</v>
      </c>
      <c r="F931" s="7" t="s">
        <v>977</v>
      </c>
      <c r="G931" s="7" t="s">
        <v>3</v>
      </c>
    </row>
    <row r="932" spans="1:7">
      <c r="A932" s="7" t="s">
        <v>503</v>
      </c>
      <c r="B932" s="7" t="s">
        <v>34</v>
      </c>
      <c r="C932" s="7" t="str">
        <f>VLOOKUP(B932,Indice!$B$1:$C$22,2,0)</f>
        <v>UNOOSA</v>
      </c>
      <c r="D932" s="7" t="str">
        <f>$A932&amp;"-"&amp;$C932&amp;"-"&amp;TEXT(COUNTIFS($A$2:$A932,$A932,$C$2:$C932,$C932),"000")</f>
        <v>F2-UNOOSA-024</v>
      </c>
      <c r="E932" s="7" t="s">
        <v>998</v>
      </c>
      <c r="F932" s="7" t="s">
        <v>977</v>
      </c>
      <c r="G932" s="7" t="s">
        <v>3</v>
      </c>
    </row>
    <row r="933" spans="1:7">
      <c r="A933" s="7" t="s">
        <v>503</v>
      </c>
      <c r="B933" s="7" t="s">
        <v>34</v>
      </c>
      <c r="C933" s="7" t="str">
        <f>VLOOKUP(B933,Indice!$B$1:$C$22,2,0)</f>
        <v>UNOOSA</v>
      </c>
      <c r="D933" s="7" t="str">
        <f>$A933&amp;"-"&amp;$C933&amp;"-"&amp;TEXT(COUNTIFS($A$2:$A933,$A933,$C$2:$C933,$C933),"000")</f>
        <v>F2-UNOOSA-025</v>
      </c>
      <c r="E933" s="7" t="s">
        <v>999</v>
      </c>
      <c r="F933" s="7" t="s">
        <v>977</v>
      </c>
      <c r="G933" s="7" t="s">
        <v>3</v>
      </c>
    </row>
    <row r="934" spans="1:7">
      <c r="A934" s="7" t="s">
        <v>503</v>
      </c>
      <c r="B934" s="7" t="s">
        <v>34</v>
      </c>
      <c r="C934" s="7" t="str">
        <f>VLOOKUP(B934,Indice!$B$1:$C$22,2,0)</f>
        <v>UNOOSA</v>
      </c>
      <c r="D934" s="7" t="str">
        <f>$A934&amp;"-"&amp;$C934&amp;"-"&amp;TEXT(COUNTIFS($A$2:$A934,$A934,$C$2:$C934,$C934),"000")</f>
        <v>F2-UNOOSA-026</v>
      </c>
      <c r="E934" s="7" t="s">
        <v>1000</v>
      </c>
      <c r="F934" s="7" t="s">
        <v>977</v>
      </c>
      <c r="G934" s="7" t="s">
        <v>3</v>
      </c>
    </row>
    <row r="935" spans="1:7">
      <c r="A935" s="7" t="s">
        <v>503</v>
      </c>
      <c r="B935" s="7" t="s">
        <v>34</v>
      </c>
      <c r="C935" s="7" t="str">
        <f>VLOOKUP(B935,Indice!$B$1:$C$22,2,0)</f>
        <v>UNOOSA</v>
      </c>
      <c r="D935" s="7" t="str">
        <f>$A935&amp;"-"&amp;$C935&amp;"-"&amp;TEXT(COUNTIFS($A$2:$A935,$A935,$C$2:$C935,$C935),"000")</f>
        <v>F2-UNOOSA-027</v>
      </c>
      <c r="E935" s="7" t="s">
        <v>1001</v>
      </c>
      <c r="F935" s="7" t="s">
        <v>977</v>
      </c>
      <c r="G935" s="7" t="s">
        <v>3</v>
      </c>
    </row>
    <row r="936" spans="1:7">
      <c r="A936" s="7" t="s">
        <v>503</v>
      </c>
      <c r="B936" s="7" t="s">
        <v>34</v>
      </c>
      <c r="C936" s="7" t="str">
        <f>VLOOKUP(B936,Indice!$B$1:$C$22,2,0)</f>
        <v>UNOOSA</v>
      </c>
      <c r="D936" s="7" t="str">
        <f>$A936&amp;"-"&amp;$C936&amp;"-"&amp;TEXT(COUNTIFS($A$2:$A936,$A936,$C$2:$C936,$C936),"000")</f>
        <v>F2-UNOOSA-028</v>
      </c>
      <c r="E936" s="7" t="s">
        <v>1002</v>
      </c>
      <c r="F936" s="7" t="s">
        <v>977</v>
      </c>
      <c r="G936" s="7" t="s">
        <v>3</v>
      </c>
    </row>
    <row r="937" spans="1:7">
      <c r="A937" s="7" t="s">
        <v>503</v>
      </c>
      <c r="B937" s="7" t="s">
        <v>34</v>
      </c>
      <c r="C937" s="7" t="str">
        <f>VLOOKUP(B937,Indice!$B$1:$C$22,2,0)</f>
        <v>UNOOSA</v>
      </c>
      <c r="D937" s="7" t="str">
        <f>$A937&amp;"-"&amp;$C937&amp;"-"&amp;TEXT(COUNTIFS($A$2:$A937,$A937,$C$2:$C937,$C937),"000")</f>
        <v>F2-UNOOSA-029</v>
      </c>
      <c r="E937" s="7" t="s">
        <v>1003</v>
      </c>
      <c r="F937" s="7" t="s">
        <v>977</v>
      </c>
      <c r="G937" s="7" t="s">
        <v>3</v>
      </c>
    </row>
    <row r="938" spans="1:7">
      <c r="A938" s="7" t="s">
        <v>503</v>
      </c>
      <c r="B938" s="7" t="s">
        <v>34</v>
      </c>
      <c r="C938" s="7" t="str">
        <f>VLOOKUP(B938,Indice!$B$1:$C$22,2,0)</f>
        <v>UNOOSA</v>
      </c>
      <c r="D938" s="7" t="str">
        <f>$A938&amp;"-"&amp;$C938&amp;"-"&amp;TEXT(COUNTIFS($A$2:$A938,$A938,$C$2:$C938,$C938),"000")</f>
        <v>F2-UNOOSA-030</v>
      </c>
      <c r="E938" s="7" t="s">
        <v>1004</v>
      </c>
      <c r="F938" s="7" t="s">
        <v>977</v>
      </c>
      <c r="G938" s="7" t="s">
        <v>3</v>
      </c>
    </row>
    <row r="939" spans="1:7">
      <c r="A939" s="7" t="s">
        <v>503</v>
      </c>
      <c r="B939" s="7" t="s">
        <v>34</v>
      </c>
      <c r="C939" s="7" t="str">
        <f>VLOOKUP(B939,Indice!$B$1:$C$22,2,0)</f>
        <v>UNOOSA</v>
      </c>
      <c r="D939" s="7" t="str">
        <f>$A939&amp;"-"&amp;$C939&amp;"-"&amp;TEXT(COUNTIFS($A$2:$A939,$A939,$C$2:$C939,$C939),"000")</f>
        <v>F2-UNOOSA-031</v>
      </c>
      <c r="E939" s="7" t="s">
        <v>1005</v>
      </c>
      <c r="F939" s="7" t="s">
        <v>969</v>
      </c>
      <c r="G939" s="7" t="s">
        <v>3</v>
      </c>
    </row>
    <row r="940" spans="1:7">
      <c r="A940" s="7" t="s">
        <v>1006</v>
      </c>
      <c r="B940" s="7" t="s">
        <v>36</v>
      </c>
      <c r="C940" s="7" t="str">
        <f>VLOOKUP(B940,Indice!$B$1:$C$22,2,0)</f>
        <v>ALERTAS</v>
      </c>
      <c r="D940" s="7" t="str">
        <f>$A940&amp;"-"&amp;$C940&amp;"-"&amp;TEXT(COUNTIFS($A$2:$A940,$A940,$C$2:$C940,$C940),"000")</f>
        <v>F3-ALERTAS-001</v>
      </c>
      <c r="E940" s="7" t="s">
        <v>1007</v>
      </c>
      <c r="F940" s="7" t="s">
        <v>1008</v>
      </c>
      <c r="G940" s="7" t="s">
        <v>4</v>
      </c>
    </row>
    <row r="941" spans="1:7">
      <c r="A941" s="7" t="s">
        <v>1006</v>
      </c>
      <c r="B941" s="7" t="s">
        <v>36</v>
      </c>
      <c r="C941" s="7" t="str">
        <f>VLOOKUP(B941,Indice!$B$1:$C$22,2,0)</f>
        <v>ALERTAS</v>
      </c>
      <c r="D941" s="7" t="str">
        <f>$A941&amp;"-"&amp;$C941&amp;"-"&amp;TEXT(COUNTIFS($A$2:$A941,$A941,$C$2:$C941,$C941),"000")</f>
        <v>F3-ALERTAS-002</v>
      </c>
      <c r="E941" s="7" t="s">
        <v>1009</v>
      </c>
      <c r="F941" s="7" t="s">
        <v>1008</v>
      </c>
      <c r="G941" s="7" t="s">
        <v>4</v>
      </c>
    </row>
    <row r="942" spans="1:7">
      <c r="A942" s="7" t="s">
        <v>1006</v>
      </c>
      <c r="B942" s="7" t="s">
        <v>36</v>
      </c>
      <c r="C942" s="7" t="str">
        <f>VLOOKUP(B942,Indice!$B$1:$C$22,2,0)</f>
        <v>ALERTAS</v>
      </c>
      <c r="D942" s="7" t="str">
        <f>$A942&amp;"-"&amp;$C942&amp;"-"&amp;TEXT(COUNTIFS($A$2:$A942,$A942,$C$2:$C942,$C942),"000")</f>
        <v>F3-ALERTAS-003</v>
      </c>
      <c r="E942" s="7" t="s">
        <v>1010</v>
      </c>
      <c r="F942" s="7" t="s">
        <v>1008</v>
      </c>
      <c r="G942" s="7" t="s">
        <v>4</v>
      </c>
    </row>
    <row r="943" spans="1:7">
      <c r="A943" s="7" t="s">
        <v>1006</v>
      </c>
      <c r="B943" s="7" t="s">
        <v>36</v>
      </c>
      <c r="C943" s="7" t="str">
        <f>VLOOKUP(B943,Indice!$B$1:$C$22,2,0)</f>
        <v>ALERTAS</v>
      </c>
      <c r="D943" s="7" t="str">
        <f>$A943&amp;"-"&amp;$C943&amp;"-"&amp;TEXT(COUNTIFS($A$2:$A943,$A943,$C$2:$C943,$C943),"000")</f>
        <v>F3-ALERTAS-004</v>
      </c>
      <c r="E943" s="7" t="s">
        <v>1011</v>
      </c>
      <c r="F943" s="7" t="s">
        <v>1008</v>
      </c>
      <c r="G943" s="7" t="s">
        <v>4</v>
      </c>
    </row>
    <row r="944" spans="1:7">
      <c r="A944" s="7" t="s">
        <v>1006</v>
      </c>
      <c r="B944" s="7" t="s">
        <v>36</v>
      </c>
      <c r="C944" s="7" t="str">
        <f>VLOOKUP(B944,Indice!$B$1:$C$22,2,0)</f>
        <v>ALERTAS</v>
      </c>
      <c r="D944" s="7" t="str">
        <f>$A944&amp;"-"&amp;$C944&amp;"-"&amp;TEXT(COUNTIFS($A$2:$A944,$A944,$C$2:$C944,$C944),"000")</f>
        <v>F3-ALERTAS-005</v>
      </c>
      <c r="E944" s="7" t="s">
        <v>1012</v>
      </c>
      <c r="F944" s="7" t="s">
        <v>1008</v>
      </c>
      <c r="G944" s="7" t="s">
        <v>4</v>
      </c>
    </row>
    <row r="945" spans="1:7">
      <c r="A945" s="7" t="s">
        <v>1006</v>
      </c>
      <c r="B945" s="7" t="s">
        <v>36</v>
      </c>
      <c r="C945" s="7" t="str">
        <f>VLOOKUP(B945,Indice!$B$1:$C$22,2,0)</f>
        <v>ALERTAS</v>
      </c>
      <c r="D945" s="7" t="str">
        <f>$A945&amp;"-"&amp;$C945&amp;"-"&amp;TEXT(COUNTIFS($A$2:$A945,$A945,$C$2:$C945,$C945),"000")</f>
        <v>F3-ALERTAS-006</v>
      </c>
      <c r="E945" s="7" t="s">
        <v>1013</v>
      </c>
      <c r="F945" s="7" t="s">
        <v>1008</v>
      </c>
      <c r="G945" s="7" t="s">
        <v>4</v>
      </c>
    </row>
    <row r="946" spans="1:7">
      <c r="A946" s="7" t="s">
        <v>1006</v>
      </c>
      <c r="B946" s="7" t="s">
        <v>36</v>
      </c>
      <c r="C946" s="7" t="str">
        <f>VLOOKUP(B946,Indice!$B$1:$C$22,2,0)</f>
        <v>ALERTAS</v>
      </c>
      <c r="D946" s="7" t="str">
        <f>$A946&amp;"-"&amp;$C946&amp;"-"&amp;TEXT(COUNTIFS($A$2:$A946,$A946,$C$2:$C946,$C946),"000")</f>
        <v>F3-ALERTAS-007</v>
      </c>
      <c r="E946" s="7" t="s">
        <v>1014</v>
      </c>
      <c r="F946" s="7" t="s">
        <v>1008</v>
      </c>
      <c r="G946" s="7" t="s">
        <v>4</v>
      </c>
    </row>
    <row r="947" spans="1:7">
      <c r="A947" s="7" t="s">
        <v>1006</v>
      </c>
      <c r="B947" s="7" t="s">
        <v>36</v>
      </c>
      <c r="C947" s="7" t="str">
        <f>VLOOKUP(B947,Indice!$B$1:$C$22,2,0)</f>
        <v>ALERTAS</v>
      </c>
      <c r="D947" s="7" t="str">
        <f>$A947&amp;"-"&amp;$C947&amp;"-"&amp;TEXT(COUNTIFS($A$2:$A947,$A947,$C$2:$C947,$C947),"000")</f>
        <v>F3-ALERTAS-008</v>
      </c>
      <c r="E947" s="7" t="s">
        <v>1015</v>
      </c>
      <c r="F947" s="7" t="s">
        <v>1008</v>
      </c>
      <c r="G947" s="7" t="s">
        <v>4</v>
      </c>
    </row>
    <row r="948" spans="1:7">
      <c r="A948" s="7" t="s">
        <v>1006</v>
      </c>
      <c r="B948" s="7" t="s">
        <v>36</v>
      </c>
      <c r="C948" s="7" t="str">
        <f>VLOOKUP(B948,Indice!$B$1:$C$22,2,0)</f>
        <v>ALERTAS</v>
      </c>
      <c r="D948" s="7" t="str">
        <f>$A948&amp;"-"&amp;$C948&amp;"-"&amp;TEXT(COUNTIFS($A$2:$A948,$A948,$C$2:$C948,$C948),"000")</f>
        <v>F3-ALERTAS-009</v>
      </c>
      <c r="E948" s="7" t="s">
        <v>1016</v>
      </c>
      <c r="F948" s="7" t="s">
        <v>1008</v>
      </c>
      <c r="G948" s="7" t="s">
        <v>4</v>
      </c>
    </row>
    <row r="949" spans="1:7">
      <c r="A949" s="7" t="s">
        <v>1006</v>
      </c>
      <c r="B949" s="7" t="s">
        <v>36</v>
      </c>
      <c r="C949" s="7" t="str">
        <f>VLOOKUP(B949,Indice!$B$1:$C$22,2,0)</f>
        <v>ALERTAS</v>
      </c>
      <c r="D949" s="7" t="str">
        <f>$A949&amp;"-"&amp;$C949&amp;"-"&amp;TEXT(COUNTIFS($A$2:$A949,$A949,$C$2:$C949,$C949),"000")</f>
        <v>F3-ALERTAS-010</v>
      </c>
      <c r="E949" s="7" t="s">
        <v>1017</v>
      </c>
      <c r="F949" s="7" t="s">
        <v>1008</v>
      </c>
      <c r="G949" s="7" t="s">
        <v>4</v>
      </c>
    </row>
    <row r="950" spans="1:7">
      <c r="A950" s="7" t="s">
        <v>1006</v>
      </c>
      <c r="B950" s="7" t="s">
        <v>36</v>
      </c>
      <c r="C950" s="7" t="str">
        <f>VLOOKUP(B950,Indice!$B$1:$C$22,2,0)</f>
        <v>ALERTAS</v>
      </c>
      <c r="D950" s="7" t="str">
        <f>$A950&amp;"-"&amp;$C950&amp;"-"&amp;TEXT(COUNTIFS($A$2:$A950,$A950,$C$2:$C950,$C950),"000")</f>
        <v>F3-ALERTAS-011</v>
      </c>
      <c r="E950" s="7" t="s">
        <v>1018</v>
      </c>
      <c r="F950" s="7" t="s">
        <v>1008</v>
      </c>
      <c r="G950" s="7" t="s">
        <v>4</v>
      </c>
    </row>
    <row r="951" spans="1:7">
      <c r="A951" s="7" t="s">
        <v>1006</v>
      </c>
      <c r="B951" s="7" t="s">
        <v>36</v>
      </c>
      <c r="C951" s="7" t="str">
        <f>VLOOKUP(B951,Indice!$B$1:$C$22,2,0)</f>
        <v>ALERTAS</v>
      </c>
      <c r="D951" s="7" t="str">
        <f>$A951&amp;"-"&amp;$C951&amp;"-"&amp;TEXT(COUNTIFS($A$2:$A951,$A951,$C$2:$C951,$C951),"000")</f>
        <v>F3-ALERTAS-012</v>
      </c>
      <c r="E951" s="7" t="s">
        <v>1019</v>
      </c>
      <c r="F951" s="7" t="s">
        <v>1008</v>
      </c>
      <c r="G951" s="7" t="s">
        <v>4</v>
      </c>
    </row>
    <row r="952" spans="1:7">
      <c r="A952" s="7" t="s">
        <v>1006</v>
      </c>
      <c r="B952" s="7" t="s">
        <v>36</v>
      </c>
      <c r="C952" s="7" t="str">
        <f>VLOOKUP(B952,Indice!$B$1:$C$22,2,0)</f>
        <v>ALERTAS</v>
      </c>
      <c r="D952" s="7" t="str">
        <f>$A952&amp;"-"&amp;$C952&amp;"-"&amp;TEXT(COUNTIFS($A$2:$A952,$A952,$C$2:$C952,$C952),"000")</f>
        <v>F3-ALERTAS-013</v>
      </c>
      <c r="E952" s="7" t="s">
        <v>1020</v>
      </c>
      <c r="F952" s="7" t="s">
        <v>1008</v>
      </c>
      <c r="G952" s="7" t="s">
        <v>4</v>
      </c>
    </row>
    <row r="953" spans="1:7">
      <c r="A953" s="7" t="s">
        <v>1006</v>
      </c>
      <c r="B953" s="7" t="s">
        <v>36</v>
      </c>
      <c r="C953" s="7" t="str">
        <f>VLOOKUP(B953,Indice!$B$1:$C$22,2,0)</f>
        <v>ALERTAS</v>
      </c>
      <c r="D953" s="7" t="str">
        <f>$A953&amp;"-"&amp;$C953&amp;"-"&amp;TEXT(COUNTIFS($A$2:$A953,$A953,$C$2:$C953,$C953),"000")</f>
        <v>F3-ALERTAS-014</v>
      </c>
      <c r="E953" s="7" t="s">
        <v>1021</v>
      </c>
      <c r="F953" s="7" t="s">
        <v>1008</v>
      </c>
      <c r="G953" s="7" t="s">
        <v>4</v>
      </c>
    </row>
    <row r="954" spans="1:7">
      <c r="A954" s="7" t="s">
        <v>1006</v>
      </c>
      <c r="B954" s="7" t="s">
        <v>36</v>
      </c>
      <c r="C954" s="7" t="str">
        <f>VLOOKUP(B954,Indice!$B$1:$C$22,2,0)</f>
        <v>ALERTAS</v>
      </c>
      <c r="D954" s="7" t="str">
        <f>$A954&amp;"-"&amp;$C954&amp;"-"&amp;TEXT(COUNTIFS($A$2:$A954,$A954,$C$2:$C954,$C954),"000")</f>
        <v>F3-ALERTAS-015</v>
      </c>
      <c r="E954" s="7" t="s">
        <v>1022</v>
      </c>
      <c r="F954" s="7" t="s">
        <v>1008</v>
      </c>
      <c r="G954" s="7" t="s">
        <v>4</v>
      </c>
    </row>
    <row r="955" spans="1:7">
      <c r="A955" s="7" t="s">
        <v>1006</v>
      </c>
      <c r="B955" s="7" t="s">
        <v>36</v>
      </c>
      <c r="C955" s="7" t="str">
        <f>VLOOKUP(B955,Indice!$B$1:$C$22,2,0)</f>
        <v>ALERTAS</v>
      </c>
      <c r="D955" s="7" t="str">
        <f>$A955&amp;"-"&amp;$C955&amp;"-"&amp;TEXT(COUNTIFS($A$2:$A955,$A955,$C$2:$C955,$C955),"000")</f>
        <v>F3-ALERTAS-016</v>
      </c>
      <c r="E955" s="7" t="s">
        <v>1023</v>
      </c>
      <c r="F955" s="7" t="s">
        <v>1008</v>
      </c>
      <c r="G955" s="7" t="s">
        <v>4</v>
      </c>
    </row>
    <row r="956" spans="1:7">
      <c r="A956" s="7" t="s">
        <v>1006</v>
      </c>
      <c r="B956" s="7" t="s">
        <v>36</v>
      </c>
      <c r="C956" s="7" t="str">
        <f>VLOOKUP(B956,Indice!$B$1:$C$22,2,0)</f>
        <v>ALERTAS</v>
      </c>
      <c r="D956" s="7" t="str">
        <f>$A956&amp;"-"&amp;$C956&amp;"-"&amp;TEXT(COUNTIFS($A$2:$A956,$A956,$C$2:$C956,$C956),"000")</f>
        <v>F3-ALERTAS-017</v>
      </c>
      <c r="E956" s="7" t="s">
        <v>1024</v>
      </c>
      <c r="F956" s="7" t="s">
        <v>1008</v>
      </c>
      <c r="G956" s="7" t="s">
        <v>4</v>
      </c>
    </row>
    <row r="957" spans="1:7">
      <c r="A957" s="7" t="s">
        <v>1006</v>
      </c>
      <c r="B957" s="7" t="s">
        <v>36</v>
      </c>
      <c r="C957" s="7" t="str">
        <f>VLOOKUP(B957,Indice!$B$1:$C$22,2,0)</f>
        <v>ALERTAS</v>
      </c>
      <c r="D957" s="7" t="str">
        <f>$A957&amp;"-"&amp;$C957&amp;"-"&amp;TEXT(COUNTIFS($A$2:$A957,$A957,$C$2:$C957,$C957),"000")</f>
        <v>F3-ALERTAS-018</v>
      </c>
      <c r="E957" s="7" t="s">
        <v>1025</v>
      </c>
      <c r="F957" s="7" t="s">
        <v>1008</v>
      </c>
      <c r="G957" s="7" t="s">
        <v>4</v>
      </c>
    </row>
    <row r="958" spans="1:7">
      <c r="A958" s="7" t="s">
        <v>1006</v>
      </c>
      <c r="B958" s="7" t="s">
        <v>36</v>
      </c>
      <c r="C958" s="7" t="str">
        <f>VLOOKUP(B958,Indice!$B$1:$C$22,2,0)</f>
        <v>ALERTAS</v>
      </c>
      <c r="D958" s="7" t="str">
        <f>$A958&amp;"-"&amp;$C958&amp;"-"&amp;TEXT(COUNTIFS($A$2:$A958,$A958,$C$2:$C958,$C958),"000")</f>
        <v>F3-ALERTAS-019</v>
      </c>
      <c r="E958" s="7" t="s">
        <v>1026</v>
      </c>
      <c r="F958" s="7" t="s">
        <v>1008</v>
      </c>
      <c r="G958" s="7" t="s">
        <v>4</v>
      </c>
    </row>
    <row r="959" spans="1:7">
      <c r="A959" s="7" t="s">
        <v>1006</v>
      </c>
      <c r="B959" s="7" t="s">
        <v>36</v>
      </c>
      <c r="C959" s="7" t="str">
        <f>VLOOKUP(B959,Indice!$B$1:$C$22,2,0)</f>
        <v>ALERTAS</v>
      </c>
      <c r="D959" s="7" t="str">
        <f>$A959&amp;"-"&amp;$C959&amp;"-"&amp;TEXT(COUNTIFS($A$2:$A959,$A959,$C$2:$C959,$C959),"000")</f>
        <v>F3-ALERTAS-020</v>
      </c>
      <c r="E959" s="7" t="s">
        <v>1027</v>
      </c>
      <c r="F959" s="7" t="s">
        <v>1008</v>
      </c>
      <c r="G959" s="7" t="s">
        <v>4</v>
      </c>
    </row>
    <row r="960" spans="1:7">
      <c r="A960" s="7" t="s">
        <v>1006</v>
      </c>
      <c r="B960" s="7" t="s">
        <v>36</v>
      </c>
      <c r="C960" s="7" t="str">
        <f>VLOOKUP(B960,Indice!$B$1:$C$22,2,0)</f>
        <v>ALERTAS</v>
      </c>
      <c r="D960" s="7" t="str">
        <f>$A960&amp;"-"&amp;$C960&amp;"-"&amp;TEXT(COUNTIFS($A$2:$A960,$A960,$C$2:$C960,$C960),"000")</f>
        <v>F3-ALERTAS-021</v>
      </c>
      <c r="E960" s="7" t="s">
        <v>1028</v>
      </c>
      <c r="F960" s="7" t="s">
        <v>1008</v>
      </c>
      <c r="G960" s="7" t="s">
        <v>4</v>
      </c>
    </row>
    <row r="961" spans="1:7">
      <c r="A961" s="7" t="s">
        <v>1006</v>
      </c>
      <c r="B961" s="7" t="s">
        <v>36</v>
      </c>
      <c r="C961" s="7" t="str">
        <f>VLOOKUP(B961,Indice!$B$1:$C$22,2,0)</f>
        <v>ALERTAS</v>
      </c>
      <c r="D961" s="7" t="str">
        <f>$A961&amp;"-"&amp;$C961&amp;"-"&amp;TEXT(COUNTIFS($A$2:$A961,$A961,$C$2:$C961,$C961),"000")</f>
        <v>F3-ALERTAS-022</v>
      </c>
      <c r="E961" s="7" t="s">
        <v>1029</v>
      </c>
      <c r="F961" s="7" t="s">
        <v>1008</v>
      </c>
      <c r="G961" s="7" t="s">
        <v>4</v>
      </c>
    </row>
    <row r="962" spans="1:7">
      <c r="A962" s="7" t="s">
        <v>1006</v>
      </c>
      <c r="B962" s="7" t="s">
        <v>36</v>
      </c>
      <c r="C962" s="7" t="str">
        <f>VLOOKUP(B962,Indice!$B$1:$C$22,2,0)</f>
        <v>ALERTAS</v>
      </c>
      <c r="D962" s="7" t="str">
        <f>$A962&amp;"-"&amp;$C962&amp;"-"&amp;TEXT(COUNTIFS($A$2:$A962,$A962,$C$2:$C962,$C962),"000")</f>
        <v>F3-ALERTAS-023</v>
      </c>
      <c r="E962" s="7" t="s">
        <v>1030</v>
      </c>
      <c r="F962" s="7" t="s">
        <v>1008</v>
      </c>
      <c r="G962" s="7" t="s">
        <v>4</v>
      </c>
    </row>
    <row r="963" spans="1:7">
      <c r="A963" s="7" t="s">
        <v>1006</v>
      </c>
      <c r="B963" s="7" t="s">
        <v>36</v>
      </c>
      <c r="C963" s="7" t="str">
        <f>VLOOKUP(B963,Indice!$B$1:$C$22,2,0)</f>
        <v>ALERTAS</v>
      </c>
      <c r="D963" s="7" t="str">
        <f>$A963&amp;"-"&amp;$C963&amp;"-"&amp;TEXT(COUNTIFS($A$2:$A963,$A963,$C$2:$C963,$C963),"000")</f>
        <v>F3-ALERTAS-024</v>
      </c>
      <c r="E963" s="7" t="s">
        <v>1031</v>
      </c>
      <c r="F963" s="7" t="s">
        <v>1008</v>
      </c>
      <c r="G963" s="7" t="s">
        <v>4</v>
      </c>
    </row>
    <row r="964" spans="1:7">
      <c r="A964" s="7" t="s">
        <v>1006</v>
      </c>
      <c r="B964" s="7" t="s">
        <v>36</v>
      </c>
      <c r="C964" s="7" t="str">
        <f>VLOOKUP(B964,Indice!$B$1:$C$22,2,0)</f>
        <v>ALERTAS</v>
      </c>
      <c r="D964" s="7" t="str">
        <f>$A964&amp;"-"&amp;$C964&amp;"-"&amp;TEXT(COUNTIFS($A$2:$A964,$A964,$C$2:$C964,$C964),"000")</f>
        <v>F3-ALERTAS-025</v>
      </c>
      <c r="E964" s="7" t="s">
        <v>1032</v>
      </c>
      <c r="F964" s="7" t="s">
        <v>1008</v>
      </c>
      <c r="G964" s="7" t="s">
        <v>4</v>
      </c>
    </row>
    <row r="965" spans="1:7">
      <c r="A965" s="7" t="s">
        <v>1006</v>
      </c>
      <c r="B965" s="7" t="s">
        <v>36</v>
      </c>
      <c r="C965" s="7" t="str">
        <f>VLOOKUP(B965,Indice!$B$1:$C$22,2,0)</f>
        <v>ALERTAS</v>
      </c>
      <c r="D965" s="7" t="str">
        <f>$A965&amp;"-"&amp;$C965&amp;"-"&amp;TEXT(COUNTIFS($A$2:$A965,$A965,$C$2:$C965,$C965),"000")</f>
        <v>F3-ALERTAS-026</v>
      </c>
      <c r="E965" s="7" t="s">
        <v>1033</v>
      </c>
      <c r="F965" s="7" t="s">
        <v>1008</v>
      </c>
      <c r="G965" s="7" t="s">
        <v>4</v>
      </c>
    </row>
    <row r="966" spans="1:7">
      <c r="A966" s="7" t="s">
        <v>1006</v>
      </c>
      <c r="B966" s="7" t="s">
        <v>36</v>
      </c>
      <c r="C966" s="7" t="str">
        <f>VLOOKUP(B966,Indice!$B$1:$C$22,2,0)</f>
        <v>ALERTAS</v>
      </c>
      <c r="D966" s="7" t="str">
        <f>$A966&amp;"-"&amp;$C966&amp;"-"&amp;TEXT(COUNTIFS($A$2:$A966,$A966,$C$2:$C966,$C966),"000")</f>
        <v>F3-ALERTAS-027</v>
      </c>
      <c r="E966" s="7" t="s">
        <v>1034</v>
      </c>
      <c r="F966" s="7" t="s">
        <v>1008</v>
      </c>
      <c r="G966" s="7" t="s">
        <v>4</v>
      </c>
    </row>
    <row r="967" spans="1:7">
      <c r="A967" s="7" t="s">
        <v>1006</v>
      </c>
      <c r="B967" s="7" t="s">
        <v>36</v>
      </c>
      <c r="C967" s="7" t="str">
        <f>VLOOKUP(B967,Indice!$B$1:$C$22,2,0)</f>
        <v>ALERTAS</v>
      </c>
      <c r="D967" s="7" t="str">
        <f>$A967&amp;"-"&amp;$C967&amp;"-"&amp;TEXT(COUNTIFS($A$2:$A967,$A967,$C$2:$C967,$C967),"000")</f>
        <v>F3-ALERTAS-028</v>
      </c>
      <c r="E967" s="7" t="s">
        <v>1035</v>
      </c>
      <c r="F967" s="7" t="s">
        <v>1008</v>
      </c>
      <c r="G967" s="7" t="s">
        <v>4</v>
      </c>
    </row>
    <row r="968" spans="1:7">
      <c r="A968" s="7" t="s">
        <v>1006</v>
      </c>
      <c r="B968" s="7" t="s">
        <v>36</v>
      </c>
      <c r="C968" s="7" t="str">
        <f>VLOOKUP(B968,Indice!$B$1:$C$22,2,0)</f>
        <v>ALERTAS</v>
      </c>
      <c r="D968" s="7" t="str">
        <f>$A968&amp;"-"&amp;$C968&amp;"-"&amp;TEXT(COUNTIFS($A$2:$A968,$A968,$C$2:$C968,$C968),"000")</f>
        <v>F3-ALERTAS-029</v>
      </c>
      <c r="E968" s="7" t="s">
        <v>1036</v>
      </c>
      <c r="F968" s="7" t="s">
        <v>1008</v>
      </c>
      <c r="G968" s="7" t="s">
        <v>4</v>
      </c>
    </row>
    <row r="969" spans="1:7">
      <c r="A969" s="7" t="s">
        <v>1006</v>
      </c>
      <c r="B969" s="7" t="s">
        <v>36</v>
      </c>
      <c r="C969" s="7" t="str">
        <f>VLOOKUP(B969,Indice!$B$1:$C$22,2,0)</f>
        <v>ALERTAS</v>
      </c>
      <c r="D969" s="7" t="str">
        <f>$A969&amp;"-"&amp;$C969&amp;"-"&amp;TEXT(COUNTIFS($A$2:$A969,$A969,$C$2:$C969,$C969),"000")</f>
        <v>F3-ALERTAS-030</v>
      </c>
      <c r="E969" s="7" t="s">
        <v>1037</v>
      </c>
      <c r="F969" s="7" t="s">
        <v>1008</v>
      </c>
      <c r="G969" s="7" t="s">
        <v>4</v>
      </c>
    </row>
    <row r="970" spans="1:7">
      <c r="A970" s="7" t="s">
        <v>1006</v>
      </c>
      <c r="B970" s="7" t="s">
        <v>36</v>
      </c>
      <c r="C970" s="7" t="str">
        <f>VLOOKUP(B970,Indice!$B$1:$C$22,2,0)</f>
        <v>ALERTAS</v>
      </c>
      <c r="D970" s="7" t="str">
        <f>$A970&amp;"-"&amp;$C970&amp;"-"&amp;TEXT(COUNTIFS($A$2:$A970,$A970,$C$2:$C970,$C970),"000")</f>
        <v>F3-ALERTAS-031</v>
      </c>
      <c r="E970" s="7" t="s">
        <v>1038</v>
      </c>
      <c r="F970" s="7" t="s">
        <v>1008</v>
      </c>
      <c r="G970" s="7" t="s">
        <v>4</v>
      </c>
    </row>
    <row r="971" spans="1:7">
      <c r="A971" s="7" t="s">
        <v>1006</v>
      </c>
      <c r="B971" s="7" t="s">
        <v>36</v>
      </c>
      <c r="C971" s="7" t="str">
        <f>VLOOKUP(B971,Indice!$B$1:$C$22,2,0)</f>
        <v>ALERTAS</v>
      </c>
      <c r="D971" s="7" t="str">
        <f>$A971&amp;"-"&amp;$C971&amp;"-"&amp;TEXT(COUNTIFS($A$2:$A971,$A971,$C$2:$C971,$C971),"000")</f>
        <v>F3-ALERTAS-032</v>
      </c>
      <c r="E971" s="7" t="s">
        <v>1039</v>
      </c>
      <c r="F971" s="7" t="s">
        <v>1008</v>
      </c>
      <c r="G971" s="7" t="s">
        <v>4</v>
      </c>
    </row>
    <row r="972" spans="1:7">
      <c r="A972" s="7" t="s">
        <v>1006</v>
      </c>
      <c r="B972" s="7" t="s">
        <v>36</v>
      </c>
      <c r="C972" s="7" t="str">
        <f>VLOOKUP(B972,Indice!$B$1:$C$22,2,0)</f>
        <v>ALERTAS</v>
      </c>
      <c r="D972" s="7" t="str">
        <f>$A972&amp;"-"&amp;$C972&amp;"-"&amp;TEXT(COUNTIFS($A$2:$A972,$A972,$C$2:$C972,$C972),"000")</f>
        <v>F3-ALERTAS-033</v>
      </c>
      <c r="E972" s="7" t="s">
        <v>1040</v>
      </c>
      <c r="F972" s="7" t="s">
        <v>1008</v>
      </c>
      <c r="G972" s="7" t="s">
        <v>4</v>
      </c>
    </row>
    <row r="973" spans="1:7">
      <c r="A973" s="7" t="s">
        <v>1006</v>
      </c>
      <c r="B973" s="7" t="s">
        <v>36</v>
      </c>
      <c r="C973" s="7" t="str">
        <f>VLOOKUP(B973,Indice!$B$1:$C$22,2,0)</f>
        <v>ALERTAS</v>
      </c>
      <c r="D973" s="7" t="str">
        <f>$A973&amp;"-"&amp;$C973&amp;"-"&amp;TEXT(COUNTIFS($A$2:$A973,$A973,$C$2:$C973,$C973),"000")</f>
        <v>F3-ALERTAS-034</v>
      </c>
      <c r="E973" s="7" t="s">
        <v>1041</v>
      </c>
      <c r="F973" s="7" t="s">
        <v>1008</v>
      </c>
      <c r="G973" s="7" t="s">
        <v>4</v>
      </c>
    </row>
    <row r="974" spans="1:7">
      <c r="A974" s="7" t="s">
        <v>1006</v>
      </c>
      <c r="B974" s="7" t="s">
        <v>36</v>
      </c>
      <c r="C974" s="7" t="str">
        <f>VLOOKUP(B974,Indice!$B$1:$C$22,2,0)</f>
        <v>ALERTAS</v>
      </c>
      <c r="D974" s="7" t="str">
        <f>$A974&amp;"-"&amp;$C974&amp;"-"&amp;TEXT(COUNTIFS($A$2:$A974,$A974,$C$2:$C974,$C974),"000")</f>
        <v>F3-ALERTAS-035</v>
      </c>
      <c r="E974" s="7" t="s">
        <v>1042</v>
      </c>
      <c r="F974" s="7" t="s">
        <v>1008</v>
      </c>
      <c r="G974" s="7" t="s">
        <v>4</v>
      </c>
    </row>
    <row r="975" spans="1:7">
      <c r="A975" s="7" t="s">
        <v>1006</v>
      </c>
      <c r="B975" s="7" t="s">
        <v>36</v>
      </c>
      <c r="C975" s="7" t="str">
        <f>VLOOKUP(B975,Indice!$B$1:$C$22,2,0)</f>
        <v>ALERTAS</v>
      </c>
      <c r="D975" s="7" t="str">
        <f>$A975&amp;"-"&amp;$C975&amp;"-"&amp;TEXT(COUNTIFS($A$2:$A975,$A975,$C$2:$C975,$C975),"000")</f>
        <v>F3-ALERTAS-036</v>
      </c>
      <c r="E975" s="7" t="s">
        <v>1043</v>
      </c>
      <c r="F975" s="7" t="s">
        <v>1008</v>
      </c>
      <c r="G975" s="7" t="s">
        <v>4</v>
      </c>
    </row>
    <row r="976" spans="1:7">
      <c r="A976" s="7" t="s">
        <v>1006</v>
      </c>
      <c r="B976" s="7" t="s">
        <v>36</v>
      </c>
      <c r="C976" s="7" t="str">
        <f>VLOOKUP(B976,Indice!$B$1:$C$22,2,0)</f>
        <v>ALERTAS</v>
      </c>
      <c r="D976" s="7" t="str">
        <f>$A976&amp;"-"&amp;$C976&amp;"-"&amp;TEXT(COUNTIFS($A$2:$A976,$A976,$C$2:$C976,$C976),"000")</f>
        <v>F3-ALERTAS-037</v>
      </c>
      <c r="E976" s="7" t="s">
        <v>1044</v>
      </c>
      <c r="F976" s="7" t="s">
        <v>1008</v>
      </c>
      <c r="G976" s="7" t="s">
        <v>4</v>
      </c>
    </row>
    <row r="977" spans="1:7">
      <c r="A977" s="7" t="s">
        <v>1006</v>
      </c>
      <c r="B977" s="7" t="s">
        <v>36</v>
      </c>
      <c r="C977" s="7" t="str">
        <f>VLOOKUP(B977,Indice!$B$1:$C$22,2,0)</f>
        <v>ALERTAS</v>
      </c>
      <c r="D977" s="7" t="str">
        <f>$A977&amp;"-"&amp;$C977&amp;"-"&amp;TEXT(COUNTIFS($A$2:$A977,$A977,$C$2:$C977,$C977),"000")</f>
        <v>F3-ALERTAS-038</v>
      </c>
      <c r="E977" s="7" t="s">
        <v>1045</v>
      </c>
      <c r="F977" s="7" t="s">
        <v>1008</v>
      </c>
      <c r="G977" s="7" t="s">
        <v>4</v>
      </c>
    </row>
    <row r="978" spans="1:7">
      <c r="A978" s="7" t="s">
        <v>1006</v>
      </c>
      <c r="B978" s="7" t="s">
        <v>36</v>
      </c>
      <c r="C978" s="7" t="str">
        <f>VLOOKUP(B978,Indice!$B$1:$C$22,2,0)</f>
        <v>ALERTAS</v>
      </c>
      <c r="D978" s="7" t="str">
        <f>$A978&amp;"-"&amp;$C978&amp;"-"&amp;TEXT(COUNTIFS($A$2:$A978,$A978,$C$2:$C978,$C978),"000")</f>
        <v>F3-ALERTAS-039</v>
      </c>
      <c r="E978" s="7" t="s">
        <v>1046</v>
      </c>
      <c r="F978" s="7" t="s">
        <v>1008</v>
      </c>
      <c r="G978" s="7" t="s">
        <v>4</v>
      </c>
    </row>
    <row r="979" spans="1:7">
      <c r="A979" s="7" t="s">
        <v>1006</v>
      </c>
      <c r="B979" s="7" t="s">
        <v>36</v>
      </c>
      <c r="C979" s="7" t="str">
        <f>VLOOKUP(B979,Indice!$B$1:$C$22,2,0)</f>
        <v>ALERTAS</v>
      </c>
      <c r="D979" s="7" t="str">
        <f>$A979&amp;"-"&amp;$C979&amp;"-"&amp;TEXT(COUNTIFS($A$2:$A979,$A979,$C$2:$C979,$C979),"000")</f>
        <v>F3-ALERTAS-040</v>
      </c>
      <c r="E979" s="7" t="s">
        <v>1047</v>
      </c>
      <c r="F979" s="7" t="s">
        <v>1008</v>
      </c>
      <c r="G979" s="7" t="s">
        <v>4</v>
      </c>
    </row>
    <row r="980" spans="1:7">
      <c r="A980" s="7" t="s">
        <v>1006</v>
      </c>
      <c r="B980" s="7" t="s">
        <v>36</v>
      </c>
      <c r="C980" s="7" t="str">
        <f>VLOOKUP(B980,Indice!$B$1:$C$22,2,0)</f>
        <v>ALERTAS</v>
      </c>
      <c r="D980" s="7" t="str">
        <f>$A980&amp;"-"&amp;$C980&amp;"-"&amp;TEXT(COUNTIFS($A$2:$A980,$A980,$C$2:$C980,$C980),"000")</f>
        <v>F3-ALERTAS-041</v>
      </c>
      <c r="E980" s="7" t="s">
        <v>1048</v>
      </c>
      <c r="F980" s="7" t="s">
        <v>1008</v>
      </c>
      <c r="G980" s="7" t="s">
        <v>4</v>
      </c>
    </row>
    <row r="981" spans="1:7">
      <c r="A981" s="7" t="s">
        <v>1006</v>
      </c>
      <c r="B981" s="7" t="s">
        <v>36</v>
      </c>
      <c r="C981" s="7" t="str">
        <f>VLOOKUP(B981,Indice!$B$1:$C$22,2,0)</f>
        <v>ALERTAS</v>
      </c>
      <c r="D981" s="7" t="str">
        <f>$A981&amp;"-"&amp;$C981&amp;"-"&amp;TEXT(COUNTIFS($A$2:$A981,$A981,$C$2:$C981,$C981),"000")</f>
        <v>F3-ALERTAS-042</v>
      </c>
      <c r="E981" s="7" t="s">
        <v>1049</v>
      </c>
      <c r="F981" s="7" t="s">
        <v>1008</v>
      </c>
      <c r="G981" s="7" t="s">
        <v>4</v>
      </c>
    </row>
    <row r="982" spans="1:7">
      <c r="A982" s="7" t="s">
        <v>1006</v>
      </c>
      <c r="B982" s="7" t="s">
        <v>36</v>
      </c>
      <c r="C982" s="7" t="str">
        <f>VLOOKUP(B982,Indice!$B$1:$C$22,2,0)</f>
        <v>ALERTAS</v>
      </c>
      <c r="D982" s="7" t="str">
        <f>$A982&amp;"-"&amp;$C982&amp;"-"&amp;TEXT(COUNTIFS($A$2:$A982,$A982,$C$2:$C982,$C982),"000")</f>
        <v>F3-ALERTAS-043</v>
      </c>
      <c r="E982" s="7" t="s">
        <v>1050</v>
      </c>
      <c r="F982" s="7" t="s">
        <v>1008</v>
      </c>
      <c r="G982" s="7" t="s">
        <v>4</v>
      </c>
    </row>
    <row r="983" spans="1:7">
      <c r="A983" s="7" t="s">
        <v>1006</v>
      </c>
      <c r="B983" s="7" t="s">
        <v>36</v>
      </c>
      <c r="C983" s="7" t="str">
        <f>VLOOKUP(B983,Indice!$B$1:$C$22,2,0)</f>
        <v>ALERTAS</v>
      </c>
      <c r="D983" s="7" t="str">
        <f>$A983&amp;"-"&amp;$C983&amp;"-"&amp;TEXT(COUNTIFS($A$2:$A983,$A983,$C$2:$C983,$C983),"000")</f>
        <v>F3-ALERTAS-044</v>
      </c>
      <c r="E983" s="7" t="s">
        <v>1051</v>
      </c>
      <c r="F983" s="7" t="s">
        <v>1008</v>
      </c>
      <c r="G983" s="7" t="s">
        <v>4</v>
      </c>
    </row>
    <row r="984" spans="1:7">
      <c r="A984" s="7" t="s">
        <v>1006</v>
      </c>
      <c r="B984" s="7" t="s">
        <v>36</v>
      </c>
      <c r="C984" s="7" t="str">
        <f>VLOOKUP(B984,Indice!$B$1:$C$22,2,0)</f>
        <v>ALERTAS</v>
      </c>
      <c r="D984" s="7" t="str">
        <f>$A984&amp;"-"&amp;$C984&amp;"-"&amp;TEXT(COUNTIFS($A$2:$A984,$A984,$C$2:$C984,$C984),"000")</f>
        <v>F3-ALERTAS-045</v>
      </c>
      <c r="E984" s="7" t="s">
        <v>1052</v>
      </c>
      <c r="F984" s="7" t="s">
        <v>1008</v>
      </c>
      <c r="G984" s="7" t="s">
        <v>4</v>
      </c>
    </row>
    <row r="985" spans="1:7">
      <c r="A985" s="7" t="s">
        <v>1006</v>
      </c>
      <c r="B985" s="7" t="s">
        <v>36</v>
      </c>
      <c r="C985" s="7" t="str">
        <f>VLOOKUP(B985,Indice!$B$1:$C$22,2,0)</f>
        <v>ALERTAS</v>
      </c>
      <c r="D985" s="7" t="str">
        <f>$A985&amp;"-"&amp;$C985&amp;"-"&amp;TEXT(COUNTIFS($A$2:$A985,$A985,$C$2:$C985,$C985),"000")</f>
        <v>F3-ALERTAS-046</v>
      </c>
      <c r="E985" s="7" t="s">
        <v>1053</v>
      </c>
      <c r="F985" s="7" t="s">
        <v>1008</v>
      </c>
      <c r="G985" s="7" t="s">
        <v>4</v>
      </c>
    </row>
    <row r="986" spans="1:7">
      <c r="A986" s="7" t="s">
        <v>1006</v>
      </c>
      <c r="B986" s="7" t="s">
        <v>36</v>
      </c>
      <c r="C986" s="7" t="str">
        <f>VLOOKUP(B986,Indice!$B$1:$C$22,2,0)</f>
        <v>ALERTAS</v>
      </c>
      <c r="D986" s="7" t="str">
        <f>$A986&amp;"-"&amp;$C986&amp;"-"&amp;TEXT(COUNTIFS($A$2:$A986,$A986,$C$2:$C986,$C986),"000")</f>
        <v>F3-ALERTAS-047</v>
      </c>
      <c r="E986" s="7" t="s">
        <v>1054</v>
      </c>
      <c r="F986" s="7" t="s">
        <v>1008</v>
      </c>
      <c r="G986" s="7" t="s">
        <v>4</v>
      </c>
    </row>
    <row r="987" spans="1:7">
      <c r="A987" s="7" t="s">
        <v>1006</v>
      </c>
      <c r="B987" s="7" t="s">
        <v>36</v>
      </c>
      <c r="C987" s="7" t="str">
        <f>VLOOKUP(B987,Indice!$B$1:$C$22,2,0)</f>
        <v>ALERTAS</v>
      </c>
      <c r="D987" s="7" t="str">
        <f>$A987&amp;"-"&amp;$C987&amp;"-"&amp;TEXT(COUNTIFS($A$2:$A987,$A987,$C$2:$C987,$C987),"000")</f>
        <v>F3-ALERTAS-048</v>
      </c>
      <c r="E987" s="7" t="s">
        <v>1055</v>
      </c>
      <c r="F987" s="7" t="s">
        <v>1008</v>
      </c>
      <c r="G987" s="7" t="s">
        <v>4</v>
      </c>
    </row>
    <row r="988" spans="1:7">
      <c r="A988" s="7" t="s">
        <v>1006</v>
      </c>
      <c r="B988" s="7" t="s">
        <v>36</v>
      </c>
      <c r="C988" s="7" t="str">
        <f>VLOOKUP(B988,Indice!$B$1:$C$22,2,0)</f>
        <v>ALERTAS</v>
      </c>
      <c r="D988" s="7" t="str">
        <f>$A988&amp;"-"&amp;$C988&amp;"-"&amp;TEXT(COUNTIFS($A$2:$A988,$A988,$C$2:$C988,$C988),"000")</f>
        <v>F3-ALERTAS-049</v>
      </c>
      <c r="E988" s="7" t="s">
        <v>1056</v>
      </c>
      <c r="F988" s="7" t="s">
        <v>1008</v>
      </c>
      <c r="G988" s="7" t="s">
        <v>4</v>
      </c>
    </row>
    <row r="989" spans="1:7">
      <c r="A989" s="7" t="s">
        <v>1006</v>
      </c>
      <c r="B989" s="7" t="s">
        <v>36</v>
      </c>
      <c r="C989" s="7" t="str">
        <f>VLOOKUP(B989,Indice!$B$1:$C$22,2,0)</f>
        <v>ALERTAS</v>
      </c>
      <c r="D989" s="7" t="str">
        <f>$A989&amp;"-"&amp;$C989&amp;"-"&amp;TEXT(COUNTIFS($A$2:$A989,$A989,$C$2:$C989,$C989),"000")</f>
        <v>F3-ALERTAS-050</v>
      </c>
      <c r="E989" s="7" t="s">
        <v>1057</v>
      </c>
      <c r="F989" s="7" t="s">
        <v>1008</v>
      </c>
      <c r="G989" s="7" t="s">
        <v>4</v>
      </c>
    </row>
    <row r="990" spans="1:7">
      <c r="A990" s="7" t="s">
        <v>1006</v>
      </c>
      <c r="B990" s="7" t="s">
        <v>36</v>
      </c>
      <c r="C990" s="7" t="str">
        <f>VLOOKUP(B990,Indice!$B$1:$C$22,2,0)</f>
        <v>ALERTAS</v>
      </c>
      <c r="D990" s="7" t="str">
        <f>$A990&amp;"-"&amp;$C990&amp;"-"&amp;TEXT(COUNTIFS($A$2:$A990,$A990,$C$2:$C990,$C990),"000")</f>
        <v>F3-ALERTAS-051</v>
      </c>
      <c r="E990" s="7" t="s">
        <v>1058</v>
      </c>
      <c r="F990" s="7" t="s">
        <v>1008</v>
      </c>
      <c r="G990" s="7" t="s">
        <v>4</v>
      </c>
    </row>
    <row r="991" spans="1:7">
      <c r="A991" s="7" t="s">
        <v>1006</v>
      </c>
      <c r="B991" s="7" t="s">
        <v>36</v>
      </c>
      <c r="C991" s="7" t="str">
        <f>VLOOKUP(B991,Indice!$B$1:$C$22,2,0)</f>
        <v>ALERTAS</v>
      </c>
      <c r="D991" s="7" t="str">
        <f>$A991&amp;"-"&amp;$C991&amp;"-"&amp;TEXT(COUNTIFS($A$2:$A991,$A991,$C$2:$C991,$C991),"000")</f>
        <v>F3-ALERTAS-052</v>
      </c>
      <c r="E991" s="7" t="s">
        <v>1059</v>
      </c>
      <c r="F991" s="7" t="s">
        <v>1008</v>
      </c>
      <c r="G991" s="7" t="s">
        <v>4</v>
      </c>
    </row>
    <row r="992" spans="1:7">
      <c r="A992" s="7" t="s">
        <v>1006</v>
      </c>
      <c r="B992" s="7" t="s">
        <v>36</v>
      </c>
      <c r="C992" s="7" t="str">
        <f>VLOOKUP(B992,Indice!$B$1:$C$22,2,0)</f>
        <v>ALERTAS</v>
      </c>
      <c r="D992" s="7" t="str">
        <f>$A992&amp;"-"&amp;$C992&amp;"-"&amp;TEXT(COUNTIFS($A$2:$A992,$A992,$C$2:$C992,$C992),"000")</f>
        <v>F3-ALERTAS-053</v>
      </c>
      <c r="E992" s="7" t="s">
        <v>1060</v>
      </c>
      <c r="F992" s="7" t="s">
        <v>1008</v>
      </c>
      <c r="G992" s="7" t="s">
        <v>4</v>
      </c>
    </row>
    <row r="993" spans="1:7">
      <c r="A993" s="7" t="s">
        <v>1006</v>
      </c>
      <c r="B993" s="7" t="s">
        <v>36</v>
      </c>
      <c r="C993" s="7" t="str">
        <f>VLOOKUP(B993,Indice!$B$1:$C$22,2,0)</f>
        <v>ALERTAS</v>
      </c>
      <c r="D993" s="7" t="str">
        <f>$A993&amp;"-"&amp;$C993&amp;"-"&amp;TEXT(COUNTIFS($A$2:$A993,$A993,$C$2:$C993,$C993),"000")</f>
        <v>F3-ALERTAS-054</v>
      </c>
      <c r="E993" s="7" t="s">
        <v>1061</v>
      </c>
      <c r="F993" s="7" t="s">
        <v>1008</v>
      </c>
      <c r="G993" s="7" t="s">
        <v>4</v>
      </c>
    </row>
    <row r="994" spans="1:7">
      <c r="A994" s="7" t="s">
        <v>1006</v>
      </c>
      <c r="B994" s="7" t="s">
        <v>36</v>
      </c>
      <c r="C994" s="7" t="str">
        <f>VLOOKUP(B994,Indice!$B$1:$C$22,2,0)</f>
        <v>ALERTAS</v>
      </c>
      <c r="D994" s="7" t="str">
        <f>$A994&amp;"-"&amp;$C994&amp;"-"&amp;TEXT(COUNTIFS($A$2:$A994,$A994,$C$2:$C994,$C994),"000")</f>
        <v>F3-ALERTAS-055</v>
      </c>
      <c r="E994" s="7" t="s">
        <v>1062</v>
      </c>
      <c r="F994" s="7" t="s">
        <v>1008</v>
      </c>
      <c r="G994" s="7" t="s">
        <v>4</v>
      </c>
    </row>
    <row r="995" spans="1:7">
      <c r="A995" s="7" t="s">
        <v>1006</v>
      </c>
      <c r="B995" s="7" t="s">
        <v>36</v>
      </c>
      <c r="C995" s="7" t="str">
        <f>VLOOKUP(B995,Indice!$B$1:$C$22,2,0)</f>
        <v>ALERTAS</v>
      </c>
      <c r="D995" s="7" t="str">
        <f>$A995&amp;"-"&amp;$C995&amp;"-"&amp;TEXT(COUNTIFS($A$2:$A995,$A995,$C$2:$C995,$C995),"000")</f>
        <v>F3-ALERTAS-056</v>
      </c>
      <c r="E995" s="7" t="s">
        <v>1063</v>
      </c>
      <c r="F995" s="7" t="s">
        <v>1008</v>
      </c>
      <c r="G995" s="7" t="s">
        <v>4</v>
      </c>
    </row>
    <row r="996" spans="1:7">
      <c r="A996" s="7" t="s">
        <v>1006</v>
      </c>
      <c r="B996" s="7" t="s">
        <v>36</v>
      </c>
      <c r="C996" s="7" t="str">
        <f>VLOOKUP(B996,Indice!$B$1:$C$22,2,0)</f>
        <v>ALERTAS</v>
      </c>
      <c r="D996" s="7" t="str">
        <f>$A996&amp;"-"&amp;$C996&amp;"-"&amp;TEXT(COUNTIFS($A$2:$A996,$A996,$C$2:$C996,$C996),"000")</f>
        <v>F3-ALERTAS-057</v>
      </c>
      <c r="E996" s="7" t="s">
        <v>1064</v>
      </c>
      <c r="F996" s="7" t="s">
        <v>1008</v>
      </c>
      <c r="G996" s="7" t="s">
        <v>4</v>
      </c>
    </row>
    <row r="997" spans="1:7">
      <c r="A997" s="7" t="s">
        <v>1006</v>
      </c>
      <c r="B997" s="7" t="s">
        <v>36</v>
      </c>
      <c r="C997" s="7" t="str">
        <f>VLOOKUP(B997,Indice!$B$1:$C$22,2,0)</f>
        <v>ALERTAS</v>
      </c>
      <c r="D997" s="7" t="str">
        <f>$A997&amp;"-"&amp;$C997&amp;"-"&amp;TEXT(COUNTIFS($A$2:$A997,$A997,$C$2:$C997,$C997),"000")</f>
        <v>F3-ALERTAS-058</v>
      </c>
      <c r="E997" s="7" t="s">
        <v>1065</v>
      </c>
      <c r="F997" s="7" t="s">
        <v>1008</v>
      </c>
      <c r="G997" s="7" t="s">
        <v>4</v>
      </c>
    </row>
    <row r="998" spans="1:7">
      <c r="A998" s="7" t="s">
        <v>1006</v>
      </c>
      <c r="B998" s="7" t="s">
        <v>36</v>
      </c>
      <c r="C998" s="7" t="str">
        <f>VLOOKUP(B998,Indice!$B$1:$C$22,2,0)</f>
        <v>ALERTAS</v>
      </c>
      <c r="D998" s="7" t="str">
        <f>$A998&amp;"-"&amp;$C998&amp;"-"&amp;TEXT(COUNTIFS($A$2:$A998,$A998,$C$2:$C998,$C998),"000")</f>
        <v>F3-ALERTAS-059</v>
      </c>
      <c r="E998" s="7" t="s">
        <v>1066</v>
      </c>
      <c r="F998" s="7" t="s">
        <v>1008</v>
      </c>
      <c r="G998" s="7" t="s">
        <v>4</v>
      </c>
    </row>
    <row r="999" spans="1:7">
      <c r="A999" s="7" t="s">
        <v>1006</v>
      </c>
      <c r="B999" s="7" t="s">
        <v>36</v>
      </c>
      <c r="C999" s="7" t="str">
        <f>VLOOKUP(B999,Indice!$B$1:$C$22,2,0)</f>
        <v>ALERTAS</v>
      </c>
      <c r="D999" s="7" t="str">
        <f>$A999&amp;"-"&amp;$C999&amp;"-"&amp;TEXT(COUNTIFS($A$2:$A999,$A999,$C$2:$C999,$C999),"000")</f>
        <v>F3-ALERTAS-060</v>
      </c>
      <c r="E999" s="7" t="s">
        <v>1067</v>
      </c>
      <c r="F999" s="7" t="s">
        <v>1008</v>
      </c>
      <c r="G999" s="7" t="s">
        <v>4</v>
      </c>
    </row>
    <row r="1000" spans="1:7">
      <c r="A1000" s="7" t="s">
        <v>1006</v>
      </c>
      <c r="B1000" s="7" t="s">
        <v>36</v>
      </c>
      <c r="C1000" s="7" t="str">
        <f>VLOOKUP(B1000,Indice!$B$1:$C$22,2,0)</f>
        <v>ALERTAS</v>
      </c>
      <c r="D1000" s="7" t="str">
        <f>$A1000&amp;"-"&amp;$C1000&amp;"-"&amp;TEXT(COUNTIFS($A$2:$A1000,$A1000,$C$2:$C1000,$C1000),"000")</f>
        <v>F3-ALERTAS-061</v>
      </c>
      <c r="E1000" s="7" t="s">
        <v>1068</v>
      </c>
      <c r="F1000" s="7" t="s">
        <v>1008</v>
      </c>
      <c r="G1000" s="7" t="s">
        <v>4</v>
      </c>
    </row>
    <row r="1001" spans="1:7">
      <c r="A1001" s="7" t="s">
        <v>1006</v>
      </c>
      <c r="B1001" s="7" t="s">
        <v>36</v>
      </c>
      <c r="C1001" s="7" t="str">
        <f>VLOOKUP(B1001,Indice!$B$1:$C$22,2,0)</f>
        <v>ALERTAS</v>
      </c>
      <c r="D1001" s="7" t="str">
        <f>$A1001&amp;"-"&amp;$C1001&amp;"-"&amp;TEXT(COUNTIFS($A$2:$A1001,$A1001,$C$2:$C1001,$C1001),"000")</f>
        <v>F3-ALERTAS-062</v>
      </c>
      <c r="E1001" s="7" t="s">
        <v>1069</v>
      </c>
      <c r="F1001" s="7" t="s">
        <v>1008</v>
      </c>
      <c r="G1001" s="7" t="s">
        <v>4</v>
      </c>
    </row>
    <row r="1002" spans="1:7">
      <c r="A1002" s="7" t="s">
        <v>1006</v>
      </c>
      <c r="B1002" s="7" t="s">
        <v>36</v>
      </c>
      <c r="C1002" s="7" t="str">
        <f>VLOOKUP(B1002,Indice!$B$1:$C$22,2,0)</f>
        <v>ALERTAS</v>
      </c>
      <c r="D1002" s="7" t="str">
        <f>$A1002&amp;"-"&amp;$C1002&amp;"-"&amp;TEXT(COUNTIFS($A$2:$A1002,$A1002,$C$2:$C1002,$C1002),"000")</f>
        <v>F3-ALERTAS-063</v>
      </c>
      <c r="E1002" s="7" t="s">
        <v>1070</v>
      </c>
      <c r="F1002" s="7" t="s">
        <v>1008</v>
      </c>
      <c r="G1002" s="7" t="s">
        <v>4</v>
      </c>
    </row>
    <row r="1003" spans="1:7">
      <c r="A1003" s="7" t="s">
        <v>1006</v>
      </c>
      <c r="B1003" s="7" t="s">
        <v>36</v>
      </c>
      <c r="C1003" s="7" t="str">
        <f>VLOOKUP(B1003,Indice!$B$1:$C$22,2,0)</f>
        <v>ALERTAS</v>
      </c>
      <c r="D1003" s="7" t="str">
        <f>$A1003&amp;"-"&amp;$C1003&amp;"-"&amp;TEXT(COUNTIFS($A$2:$A1003,$A1003,$C$2:$C1003,$C1003),"000")</f>
        <v>F3-ALERTAS-064</v>
      </c>
      <c r="E1003" s="7" t="s">
        <v>1071</v>
      </c>
      <c r="F1003" s="7" t="s">
        <v>1008</v>
      </c>
      <c r="G1003" s="7" t="s">
        <v>4</v>
      </c>
    </row>
    <row r="1004" spans="1:7">
      <c r="A1004" s="7" t="s">
        <v>1006</v>
      </c>
      <c r="B1004" s="7" t="s">
        <v>36</v>
      </c>
      <c r="C1004" s="7" t="str">
        <f>VLOOKUP(B1004,Indice!$B$1:$C$22,2,0)</f>
        <v>ALERTAS</v>
      </c>
      <c r="D1004" s="7" t="str">
        <f>$A1004&amp;"-"&amp;$C1004&amp;"-"&amp;TEXT(COUNTIFS($A$2:$A1004,$A1004,$C$2:$C1004,$C1004),"000")</f>
        <v>F3-ALERTAS-065</v>
      </c>
      <c r="E1004" s="7" t="s">
        <v>1072</v>
      </c>
      <c r="F1004" s="7" t="s">
        <v>1008</v>
      </c>
      <c r="G1004" s="7" t="s">
        <v>4</v>
      </c>
    </row>
    <row r="1005" spans="1:7">
      <c r="A1005" s="7" t="s">
        <v>1006</v>
      </c>
      <c r="B1005" s="7" t="s">
        <v>36</v>
      </c>
      <c r="C1005" s="7" t="str">
        <f>VLOOKUP(B1005,Indice!$B$1:$C$22,2,0)</f>
        <v>ALERTAS</v>
      </c>
      <c r="D1005" s="7" t="str">
        <f>$A1005&amp;"-"&amp;$C1005&amp;"-"&amp;TEXT(COUNTIFS($A$2:$A1005,$A1005,$C$2:$C1005,$C1005),"000")</f>
        <v>F3-ALERTAS-066</v>
      </c>
      <c r="E1005" s="7" t="s">
        <v>1073</v>
      </c>
      <c r="F1005" s="7" t="s">
        <v>1008</v>
      </c>
      <c r="G1005" s="7" t="s">
        <v>4</v>
      </c>
    </row>
    <row r="1006" spans="1:7">
      <c r="A1006" s="7" t="s">
        <v>1006</v>
      </c>
      <c r="B1006" s="7" t="s">
        <v>36</v>
      </c>
      <c r="C1006" s="7" t="str">
        <f>VLOOKUP(B1006,Indice!$B$1:$C$22,2,0)</f>
        <v>ALERTAS</v>
      </c>
      <c r="D1006" s="7" t="str">
        <f>$A1006&amp;"-"&amp;$C1006&amp;"-"&amp;TEXT(COUNTIFS($A$2:$A1006,$A1006,$C$2:$C1006,$C1006),"000")</f>
        <v>F3-ALERTAS-067</v>
      </c>
      <c r="E1006" s="7" t="s">
        <v>1074</v>
      </c>
      <c r="F1006" s="7" t="s">
        <v>1008</v>
      </c>
      <c r="G1006" s="7" t="s">
        <v>4</v>
      </c>
    </row>
    <row r="1007" spans="1:7">
      <c r="A1007" s="7" t="s">
        <v>1006</v>
      </c>
      <c r="B1007" s="7" t="s">
        <v>36</v>
      </c>
      <c r="C1007" s="7" t="str">
        <f>VLOOKUP(B1007,Indice!$B$1:$C$22,2,0)</f>
        <v>ALERTAS</v>
      </c>
      <c r="D1007" s="7" t="str">
        <f>$A1007&amp;"-"&amp;$C1007&amp;"-"&amp;TEXT(COUNTIFS($A$2:$A1007,$A1007,$C$2:$C1007,$C1007),"000")</f>
        <v>F3-ALERTAS-068</v>
      </c>
      <c r="E1007" s="7" t="s">
        <v>1075</v>
      </c>
      <c r="F1007" s="7" t="s">
        <v>1008</v>
      </c>
      <c r="G1007" s="7" t="s">
        <v>4</v>
      </c>
    </row>
    <row r="1008" spans="1:7">
      <c r="A1008" s="7" t="s">
        <v>1006</v>
      </c>
      <c r="B1008" s="7" t="s">
        <v>36</v>
      </c>
      <c r="C1008" s="7" t="str">
        <f>VLOOKUP(B1008,Indice!$B$1:$C$22,2,0)</f>
        <v>ALERTAS</v>
      </c>
      <c r="D1008" s="7" t="str">
        <f>$A1008&amp;"-"&amp;$C1008&amp;"-"&amp;TEXT(COUNTIFS($A$2:$A1008,$A1008,$C$2:$C1008,$C1008),"000")</f>
        <v>F3-ALERTAS-069</v>
      </c>
      <c r="E1008" s="7" t="s">
        <v>1076</v>
      </c>
      <c r="F1008" s="7" t="s">
        <v>1008</v>
      </c>
      <c r="G1008" s="7" t="s">
        <v>4</v>
      </c>
    </row>
    <row r="1009" spans="1:7">
      <c r="A1009" s="7" t="s">
        <v>1006</v>
      </c>
      <c r="B1009" s="7" t="s">
        <v>36</v>
      </c>
      <c r="C1009" s="7" t="str">
        <f>VLOOKUP(B1009,Indice!$B$1:$C$22,2,0)</f>
        <v>ALERTAS</v>
      </c>
      <c r="D1009" s="7" t="str">
        <f>$A1009&amp;"-"&amp;$C1009&amp;"-"&amp;TEXT(COUNTIFS($A$2:$A1009,$A1009,$C$2:$C1009,$C1009),"000")</f>
        <v>F3-ALERTAS-070</v>
      </c>
      <c r="E1009" s="7" t="s">
        <v>1077</v>
      </c>
      <c r="F1009" s="7" t="s">
        <v>1008</v>
      </c>
      <c r="G1009" s="7" t="s">
        <v>4</v>
      </c>
    </row>
    <row r="1010" spans="1:7">
      <c r="A1010" s="7" t="s">
        <v>1006</v>
      </c>
      <c r="B1010" s="7" t="s">
        <v>36</v>
      </c>
      <c r="C1010" s="7" t="str">
        <f>VLOOKUP(B1010,Indice!$B$1:$C$22,2,0)</f>
        <v>ALERTAS</v>
      </c>
      <c r="D1010" s="7" t="str">
        <f>$A1010&amp;"-"&amp;$C1010&amp;"-"&amp;TEXT(COUNTIFS($A$2:$A1010,$A1010,$C$2:$C1010,$C1010),"000")</f>
        <v>F3-ALERTAS-071</v>
      </c>
      <c r="E1010" s="7" t="s">
        <v>1078</v>
      </c>
      <c r="F1010" s="7" t="s">
        <v>1008</v>
      </c>
      <c r="G1010" s="7" t="s">
        <v>4</v>
      </c>
    </row>
    <row r="1011" spans="1:7">
      <c r="A1011" s="7" t="s">
        <v>1006</v>
      </c>
      <c r="B1011" s="7" t="s">
        <v>36</v>
      </c>
      <c r="C1011" s="7" t="str">
        <f>VLOOKUP(B1011,Indice!$B$1:$C$22,2,0)</f>
        <v>ALERTAS</v>
      </c>
      <c r="D1011" s="7" t="str">
        <f>$A1011&amp;"-"&amp;$C1011&amp;"-"&amp;TEXT(COUNTIFS($A$2:$A1011,$A1011,$C$2:$C1011,$C1011),"000")</f>
        <v>F3-ALERTAS-072</v>
      </c>
      <c r="E1011" s="7" t="s">
        <v>1079</v>
      </c>
      <c r="F1011" s="7" t="s">
        <v>1008</v>
      </c>
      <c r="G1011" s="7" t="s">
        <v>4</v>
      </c>
    </row>
    <row r="1012" spans="1:7">
      <c r="A1012" s="7" t="s">
        <v>1006</v>
      </c>
      <c r="B1012" s="7" t="s">
        <v>36</v>
      </c>
      <c r="C1012" s="7" t="str">
        <f>VLOOKUP(B1012,Indice!$B$1:$C$22,2,0)</f>
        <v>ALERTAS</v>
      </c>
      <c r="D1012" s="7" t="str">
        <f>$A1012&amp;"-"&amp;$C1012&amp;"-"&amp;TEXT(COUNTIFS($A$2:$A1012,$A1012,$C$2:$C1012,$C1012),"000")</f>
        <v>F3-ALERTAS-073</v>
      </c>
      <c r="E1012" s="7" t="s">
        <v>1080</v>
      </c>
      <c r="F1012" s="7" t="s">
        <v>1008</v>
      </c>
      <c r="G1012" s="7" t="s">
        <v>4</v>
      </c>
    </row>
    <row r="1013" spans="1:7">
      <c r="A1013" s="7" t="s">
        <v>1006</v>
      </c>
      <c r="B1013" s="7" t="s">
        <v>36</v>
      </c>
      <c r="C1013" s="7" t="str">
        <f>VLOOKUP(B1013,Indice!$B$1:$C$22,2,0)</f>
        <v>ALERTAS</v>
      </c>
      <c r="D1013" s="7" t="str">
        <f>$A1013&amp;"-"&amp;$C1013&amp;"-"&amp;TEXT(COUNTIFS($A$2:$A1013,$A1013,$C$2:$C1013,$C1013),"000")</f>
        <v>F3-ALERTAS-074</v>
      </c>
      <c r="E1013" s="7" t="s">
        <v>1081</v>
      </c>
      <c r="F1013" s="7" t="s">
        <v>1008</v>
      </c>
      <c r="G1013" s="7" t="s">
        <v>4</v>
      </c>
    </row>
    <row r="1014" spans="1:7">
      <c r="A1014" s="7" t="s">
        <v>1006</v>
      </c>
      <c r="B1014" s="7" t="s">
        <v>36</v>
      </c>
      <c r="C1014" s="7" t="str">
        <f>VLOOKUP(B1014,Indice!$B$1:$C$22,2,0)</f>
        <v>ALERTAS</v>
      </c>
      <c r="D1014" s="7" t="str">
        <f>$A1014&amp;"-"&amp;$C1014&amp;"-"&amp;TEXT(COUNTIFS($A$2:$A1014,$A1014,$C$2:$C1014,$C1014),"000")</f>
        <v>F3-ALERTAS-075</v>
      </c>
      <c r="E1014" s="7" t="s">
        <v>1082</v>
      </c>
      <c r="F1014" s="7" t="s">
        <v>1008</v>
      </c>
      <c r="G1014" s="7" t="s">
        <v>4</v>
      </c>
    </row>
    <row r="1015" spans="1:7">
      <c r="A1015" s="7" t="s">
        <v>1006</v>
      </c>
      <c r="B1015" s="7" t="s">
        <v>36</v>
      </c>
      <c r="C1015" s="7" t="str">
        <f>VLOOKUP(B1015,Indice!$B$1:$C$22,2,0)</f>
        <v>ALERTAS</v>
      </c>
      <c r="D1015" s="7" t="str">
        <f>$A1015&amp;"-"&amp;$C1015&amp;"-"&amp;TEXT(COUNTIFS($A$2:$A1015,$A1015,$C$2:$C1015,$C1015),"000")</f>
        <v>F3-ALERTAS-076</v>
      </c>
      <c r="E1015" s="7" t="s">
        <v>1083</v>
      </c>
      <c r="F1015" s="7" t="s">
        <v>1008</v>
      </c>
      <c r="G1015" s="7" t="s">
        <v>4</v>
      </c>
    </row>
    <row r="1016" spans="1:7">
      <c r="A1016" s="7" t="s">
        <v>1006</v>
      </c>
      <c r="B1016" s="7" t="s">
        <v>36</v>
      </c>
      <c r="C1016" s="7" t="str">
        <f>VLOOKUP(B1016,Indice!$B$1:$C$22,2,0)</f>
        <v>ALERTAS</v>
      </c>
      <c r="D1016" s="7" t="str">
        <f>$A1016&amp;"-"&amp;$C1016&amp;"-"&amp;TEXT(COUNTIFS($A$2:$A1016,$A1016,$C$2:$C1016,$C1016),"000")</f>
        <v>F3-ALERTAS-077</v>
      </c>
      <c r="E1016" s="7" t="s">
        <v>1084</v>
      </c>
      <c r="F1016" s="7" t="s">
        <v>1008</v>
      </c>
      <c r="G1016" s="7" t="s">
        <v>4</v>
      </c>
    </row>
    <row r="1017" spans="1:7">
      <c r="A1017" s="7" t="s">
        <v>1006</v>
      </c>
      <c r="B1017" s="7" t="s">
        <v>36</v>
      </c>
      <c r="C1017" s="7" t="str">
        <f>VLOOKUP(B1017,Indice!$B$1:$C$22,2,0)</f>
        <v>ALERTAS</v>
      </c>
      <c r="D1017" s="7" t="str">
        <f>$A1017&amp;"-"&amp;$C1017&amp;"-"&amp;TEXT(COUNTIFS($A$2:$A1017,$A1017,$C$2:$C1017,$C1017),"000")</f>
        <v>F3-ALERTAS-078</v>
      </c>
      <c r="E1017" s="7" t="s">
        <v>1085</v>
      </c>
      <c r="F1017" s="7" t="s">
        <v>1008</v>
      </c>
      <c r="G1017" s="7" t="s">
        <v>4</v>
      </c>
    </row>
    <row r="1018" spans="1:7">
      <c r="A1018" s="7" t="s">
        <v>1006</v>
      </c>
      <c r="B1018" s="7" t="s">
        <v>36</v>
      </c>
      <c r="C1018" s="7" t="str">
        <f>VLOOKUP(B1018,Indice!$B$1:$C$22,2,0)</f>
        <v>ALERTAS</v>
      </c>
      <c r="D1018" s="7" t="str">
        <f>$A1018&amp;"-"&amp;$C1018&amp;"-"&amp;TEXT(COUNTIFS($A$2:$A1018,$A1018,$C$2:$C1018,$C1018),"000")</f>
        <v>F3-ALERTAS-079</v>
      </c>
      <c r="E1018" s="7" t="s">
        <v>1086</v>
      </c>
      <c r="F1018" s="7" t="s">
        <v>1008</v>
      </c>
      <c r="G1018" s="7" t="s">
        <v>4</v>
      </c>
    </row>
    <row r="1019" spans="1:7">
      <c r="A1019" s="7" t="s">
        <v>1006</v>
      </c>
      <c r="B1019" s="7" t="s">
        <v>36</v>
      </c>
      <c r="C1019" s="7" t="str">
        <f>VLOOKUP(B1019,Indice!$B$1:$C$22,2,0)</f>
        <v>ALERTAS</v>
      </c>
      <c r="D1019" s="7" t="str">
        <f>$A1019&amp;"-"&amp;$C1019&amp;"-"&amp;TEXT(COUNTIFS($A$2:$A1019,$A1019,$C$2:$C1019,$C1019),"000")</f>
        <v>F3-ALERTAS-080</v>
      </c>
      <c r="E1019" s="7" t="s">
        <v>1087</v>
      </c>
      <c r="F1019" s="7" t="s">
        <v>1008</v>
      </c>
      <c r="G1019" s="7" t="s">
        <v>4</v>
      </c>
    </row>
    <row r="1020" spans="1:7">
      <c r="A1020" s="7" t="s">
        <v>1006</v>
      </c>
      <c r="B1020" s="7" t="s">
        <v>36</v>
      </c>
      <c r="C1020" s="7" t="str">
        <f>VLOOKUP(B1020,Indice!$B$1:$C$22,2,0)</f>
        <v>ALERTAS</v>
      </c>
      <c r="D1020" s="7" t="str">
        <f>$A1020&amp;"-"&amp;$C1020&amp;"-"&amp;TEXT(COUNTIFS($A$2:$A1020,$A1020,$C$2:$C1020,$C1020),"000")</f>
        <v>F3-ALERTAS-081</v>
      </c>
      <c r="E1020" s="7" t="s">
        <v>1088</v>
      </c>
      <c r="F1020" s="7" t="s">
        <v>1008</v>
      </c>
      <c r="G1020" s="7" t="s">
        <v>4</v>
      </c>
    </row>
    <row r="1021" spans="1:7">
      <c r="A1021" s="7" t="s">
        <v>1006</v>
      </c>
      <c r="B1021" s="7" t="s">
        <v>36</v>
      </c>
      <c r="C1021" s="7" t="str">
        <f>VLOOKUP(B1021,Indice!$B$1:$C$22,2,0)</f>
        <v>ALERTAS</v>
      </c>
      <c r="D1021" s="7" t="str">
        <f>$A1021&amp;"-"&amp;$C1021&amp;"-"&amp;TEXT(COUNTIFS($A$2:$A1021,$A1021,$C$2:$C1021,$C1021),"000")</f>
        <v>F3-ALERTAS-082</v>
      </c>
      <c r="E1021" s="7" t="s">
        <v>1089</v>
      </c>
      <c r="F1021" s="7" t="s">
        <v>1008</v>
      </c>
      <c r="G1021" s="7" t="s">
        <v>4</v>
      </c>
    </row>
    <row r="1022" spans="1:7">
      <c r="A1022" s="7" t="s">
        <v>1006</v>
      </c>
      <c r="B1022" s="7" t="s">
        <v>36</v>
      </c>
      <c r="C1022" s="7" t="str">
        <f>VLOOKUP(B1022,Indice!$B$1:$C$22,2,0)</f>
        <v>ALERTAS</v>
      </c>
      <c r="D1022" s="7" t="str">
        <f>$A1022&amp;"-"&amp;$C1022&amp;"-"&amp;TEXT(COUNTIFS($A$2:$A1022,$A1022,$C$2:$C1022,$C1022),"000")</f>
        <v>F3-ALERTAS-083</v>
      </c>
      <c r="E1022" s="7" t="s">
        <v>1090</v>
      </c>
      <c r="F1022" s="7" t="s">
        <v>1008</v>
      </c>
      <c r="G1022" s="7" t="s">
        <v>4</v>
      </c>
    </row>
    <row r="1023" spans="1:7">
      <c r="A1023" s="7" t="s">
        <v>1006</v>
      </c>
      <c r="B1023" s="7" t="s">
        <v>36</v>
      </c>
      <c r="C1023" s="7" t="str">
        <f>VLOOKUP(B1023,Indice!$B$1:$C$22,2,0)</f>
        <v>ALERTAS</v>
      </c>
      <c r="D1023" s="7" t="str">
        <f>$A1023&amp;"-"&amp;$C1023&amp;"-"&amp;TEXT(COUNTIFS($A$2:$A1023,$A1023,$C$2:$C1023,$C1023),"000")</f>
        <v>F3-ALERTAS-084</v>
      </c>
      <c r="E1023" s="7" t="s">
        <v>1091</v>
      </c>
      <c r="F1023" s="7" t="s">
        <v>1008</v>
      </c>
      <c r="G1023" s="7" t="s">
        <v>4</v>
      </c>
    </row>
    <row r="1024" spans="1:7">
      <c r="A1024" s="7" t="s">
        <v>1006</v>
      </c>
      <c r="B1024" s="7" t="s">
        <v>36</v>
      </c>
      <c r="C1024" s="7" t="str">
        <f>VLOOKUP(B1024,Indice!$B$1:$C$22,2,0)</f>
        <v>ALERTAS</v>
      </c>
      <c r="D1024" s="7" t="str">
        <f>$A1024&amp;"-"&amp;$C1024&amp;"-"&amp;TEXT(COUNTIFS($A$2:$A1024,$A1024,$C$2:$C1024,$C1024),"000")</f>
        <v>F3-ALERTAS-085</v>
      </c>
      <c r="E1024" s="7" t="s">
        <v>1092</v>
      </c>
      <c r="F1024" s="7" t="s">
        <v>1008</v>
      </c>
      <c r="G1024" s="7" t="s">
        <v>4</v>
      </c>
    </row>
    <row r="1025" spans="1:7">
      <c r="A1025" s="7" t="s">
        <v>1006</v>
      </c>
      <c r="B1025" s="7" t="s">
        <v>36</v>
      </c>
      <c r="C1025" s="7" t="str">
        <f>VLOOKUP(B1025,Indice!$B$1:$C$22,2,0)</f>
        <v>ALERTAS</v>
      </c>
      <c r="D1025" s="7" t="str">
        <f>$A1025&amp;"-"&amp;$C1025&amp;"-"&amp;TEXT(COUNTIFS($A$2:$A1025,$A1025,$C$2:$C1025,$C1025),"000")</f>
        <v>F3-ALERTAS-086</v>
      </c>
      <c r="E1025" s="7" t="s">
        <v>1093</v>
      </c>
      <c r="F1025" s="7" t="s">
        <v>1008</v>
      </c>
      <c r="G1025" s="7" t="s">
        <v>4</v>
      </c>
    </row>
    <row r="1026" spans="1:7">
      <c r="A1026" s="7" t="s">
        <v>1006</v>
      </c>
      <c r="B1026" s="7" t="s">
        <v>36</v>
      </c>
      <c r="C1026" s="7" t="str">
        <f>VLOOKUP(B1026,Indice!$B$1:$C$22,2,0)</f>
        <v>ALERTAS</v>
      </c>
      <c r="D1026" s="7" t="str">
        <f>$A1026&amp;"-"&amp;$C1026&amp;"-"&amp;TEXT(COUNTIFS($A$2:$A1026,$A1026,$C$2:$C1026,$C1026),"000")</f>
        <v>F3-ALERTAS-087</v>
      </c>
      <c r="E1026" s="7" t="s">
        <v>1094</v>
      </c>
      <c r="F1026" s="7" t="s">
        <v>1008</v>
      </c>
      <c r="G1026" s="7" t="s">
        <v>4</v>
      </c>
    </row>
    <row r="1027" spans="1:7">
      <c r="A1027" s="7" t="s">
        <v>1006</v>
      </c>
      <c r="B1027" s="7" t="s">
        <v>36</v>
      </c>
      <c r="C1027" s="7" t="str">
        <f>VLOOKUP(B1027,Indice!$B$1:$C$22,2,0)</f>
        <v>ALERTAS</v>
      </c>
      <c r="D1027" s="7" t="str">
        <f>$A1027&amp;"-"&amp;$C1027&amp;"-"&amp;TEXT(COUNTIFS($A$2:$A1027,$A1027,$C$2:$C1027,$C1027),"000")</f>
        <v>F3-ALERTAS-088</v>
      </c>
      <c r="E1027" s="7" t="s">
        <v>1095</v>
      </c>
      <c r="F1027" s="7" t="s">
        <v>1008</v>
      </c>
      <c r="G1027" s="7" t="s">
        <v>4</v>
      </c>
    </row>
    <row r="1028" spans="1:7">
      <c r="A1028" s="7" t="s">
        <v>1006</v>
      </c>
      <c r="B1028" s="7" t="s">
        <v>36</v>
      </c>
      <c r="C1028" s="7" t="str">
        <f>VLOOKUP(B1028,Indice!$B$1:$C$22,2,0)</f>
        <v>ALERTAS</v>
      </c>
      <c r="D1028" s="7" t="str">
        <f>$A1028&amp;"-"&amp;$C1028&amp;"-"&amp;TEXT(COUNTIFS($A$2:$A1028,$A1028,$C$2:$C1028,$C1028),"000")</f>
        <v>F3-ALERTAS-089</v>
      </c>
      <c r="E1028" s="7" t="s">
        <v>1096</v>
      </c>
      <c r="F1028" s="7" t="s">
        <v>1008</v>
      </c>
      <c r="G1028" s="7" t="s">
        <v>4</v>
      </c>
    </row>
    <row r="1029" spans="1:7">
      <c r="A1029" s="7" t="s">
        <v>1006</v>
      </c>
      <c r="B1029" s="7" t="s">
        <v>36</v>
      </c>
      <c r="C1029" s="7" t="str">
        <f>VLOOKUP(B1029,Indice!$B$1:$C$22,2,0)</f>
        <v>ALERTAS</v>
      </c>
      <c r="D1029" s="7" t="str">
        <f>$A1029&amp;"-"&amp;$C1029&amp;"-"&amp;TEXT(COUNTIFS($A$2:$A1029,$A1029,$C$2:$C1029,$C1029),"000")</f>
        <v>F3-ALERTAS-090</v>
      </c>
      <c r="E1029" s="7" t="s">
        <v>1097</v>
      </c>
      <c r="F1029" s="7" t="s">
        <v>1008</v>
      </c>
      <c r="G1029" s="7" t="s">
        <v>4</v>
      </c>
    </row>
    <row r="1030" spans="1:7">
      <c r="A1030" s="7" t="s">
        <v>1006</v>
      </c>
      <c r="B1030" s="7" t="s">
        <v>36</v>
      </c>
      <c r="C1030" s="7" t="str">
        <f>VLOOKUP(B1030,Indice!$B$1:$C$22,2,0)</f>
        <v>ALERTAS</v>
      </c>
      <c r="D1030" s="7" t="str">
        <f>$A1030&amp;"-"&amp;$C1030&amp;"-"&amp;TEXT(COUNTIFS($A$2:$A1030,$A1030,$C$2:$C1030,$C1030),"000")</f>
        <v>F3-ALERTAS-091</v>
      </c>
      <c r="E1030" s="7" t="s">
        <v>1098</v>
      </c>
      <c r="F1030" s="7" t="s">
        <v>1008</v>
      </c>
      <c r="G1030" s="7" t="s">
        <v>4</v>
      </c>
    </row>
    <row r="1031" spans="1:7">
      <c r="A1031" s="7" t="s">
        <v>1006</v>
      </c>
      <c r="B1031" s="7" t="s">
        <v>36</v>
      </c>
      <c r="C1031" s="7" t="str">
        <f>VLOOKUP(B1031,Indice!$B$1:$C$22,2,0)</f>
        <v>ALERTAS</v>
      </c>
      <c r="D1031" s="7" t="str">
        <f>$A1031&amp;"-"&amp;$C1031&amp;"-"&amp;TEXT(COUNTIFS($A$2:$A1031,$A1031,$C$2:$C1031,$C1031),"000")</f>
        <v>F3-ALERTAS-092</v>
      </c>
      <c r="E1031" s="7" t="s">
        <v>1099</v>
      </c>
      <c r="F1031" s="7" t="s">
        <v>1008</v>
      </c>
      <c r="G1031" s="7" t="s">
        <v>4</v>
      </c>
    </row>
    <row r="1032" spans="1:7">
      <c r="A1032" s="7" t="s">
        <v>1006</v>
      </c>
      <c r="B1032" s="7" t="s">
        <v>36</v>
      </c>
      <c r="C1032" s="7" t="str">
        <f>VLOOKUP(B1032,Indice!$B$1:$C$22,2,0)</f>
        <v>ALERTAS</v>
      </c>
      <c r="D1032" s="7" t="str">
        <f>$A1032&amp;"-"&amp;$C1032&amp;"-"&amp;TEXT(COUNTIFS($A$2:$A1032,$A1032,$C$2:$C1032,$C1032),"000")</f>
        <v>F3-ALERTAS-093</v>
      </c>
      <c r="E1032" s="7" t="s">
        <v>1100</v>
      </c>
      <c r="F1032" s="7" t="s">
        <v>1008</v>
      </c>
      <c r="G1032" s="7" t="s">
        <v>4</v>
      </c>
    </row>
    <row r="1033" spans="1:7">
      <c r="A1033" s="7" t="s">
        <v>1006</v>
      </c>
      <c r="B1033" s="7" t="s">
        <v>36</v>
      </c>
      <c r="C1033" s="7" t="str">
        <f>VLOOKUP(B1033,Indice!$B$1:$C$22,2,0)</f>
        <v>ALERTAS</v>
      </c>
      <c r="D1033" s="7" t="str">
        <f>$A1033&amp;"-"&amp;$C1033&amp;"-"&amp;TEXT(COUNTIFS($A$2:$A1033,$A1033,$C$2:$C1033,$C1033),"000")</f>
        <v>F3-ALERTAS-094</v>
      </c>
      <c r="E1033" s="7" t="s">
        <v>1101</v>
      </c>
      <c r="F1033" s="7" t="s">
        <v>1008</v>
      </c>
      <c r="G1033" s="7" t="s">
        <v>4</v>
      </c>
    </row>
    <row r="1034" spans="1:7">
      <c r="A1034" s="7" t="s">
        <v>1006</v>
      </c>
      <c r="B1034" s="7" t="s">
        <v>36</v>
      </c>
      <c r="C1034" s="7" t="str">
        <f>VLOOKUP(B1034,Indice!$B$1:$C$22,2,0)</f>
        <v>ALERTAS</v>
      </c>
      <c r="D1034" s="7" t="str">
        <f>$A1034&amp;"-"&amp;$C1034&amp;"-"&amp;TEXT(COUNTIFS($A$2:$A1034,$A1034,$C$2:$C1034,$C1034),"000")</f>
        <v>F3-ALERTAS-095</v>
      </c>
      <c r="E1034" s="7" t="s">
        <v>1102</v>
      </c>
      <c r="F1034" s="7" t="s">
        <v>1008</v>
      </c>
      <c r="G1034" s="7" t="s">
        <v>4</v>
      </c>
    </row>
    <row r="1035" spans="1:7">
      <c r="A1035" s="7" t="s">
        <v>1006</v>
      </c>
      <c r="B1035" s="7" t="s">
        <v>36</v>
      </c>
      <c r="C1035" s="7" t="str">
        <f>VLOOKUP(B1035,Indice!$B$1:$C$22,2,0)</f>
        <v>ALERTAS</v>
      </c>
      <c r="D1035" s="7" t="str">
        <f>$A1035&amp;"-"&amp;$C1035&amp;"-"&amp;TEXT(COUNTIFS($A$2:$A1035,$A1035,$C$2:$C1035,$C1035),"000")</f>
        <v>F3-ALERTAS-096</v>
      </c>
      <c r="E1035" s="7" t="s">
        <v>1103</v>
      </c>
      <c r="F1035" s="7" t="s">
        <v>1008</v>
      </c>
      <c r="G1035" s="7" t="s">
        <v>4</v>
      </c>
    </row>
    <row r="1036" spans="1:7">
      <c r="A1036" s="7" t="s">
        <v>1006</v>
      </c>
      <c r="B1036" s="7" t="s">
        <v>36</v>
      </c>
      <c r="C1036" s="7" t="str">
        <f>VLOOKUP(B1036,Indice!$B$1:$C$22,2,0)</f>
        <v>ALERTAS</v>
      </c>
      <c r="D1036" s="7" t="str">
        <f>$A1036&amp;"-"&amp;$C1036&amp;"-"&amp;TEXT(COUNTIFS($A$2:$A1036,$A1036,$C$2:$C1036,$C1036),"000")</f>
        <v>F3-ALERTAS-097</v>
      </c>
      <c r="E1036" s="7" t="s">
        <v>1104</v>
      </c>
      <c r="F1036" s="7" t="s">
        <v>1008</v>
      </c>
      <c r="G1036" s="7" t="s">
        <v>4</v>
      </c>
    </row>
    <row r="1037" spans="1:7">
      <c r="A1037" s="7" t="s">
        <v>1006</v>
      </c>
      <c r="B1037" s="7" t="s">
        <v>36</v>
      </c>
      <c r="C1037" s="7" t="str">
        <f>VLOOKUP(B1037,Indice!$B$1:$C$22,2,0)</f>
        <v>ALERTAS</v>
      </c>
      <c r="D1037" s="7" t="str">
        <f>$A1037&amp;"-"&amp;$C1037&amp;"-"&amp;TEXT(COUNTIFS($A$2:$A1037,$A1037,$C$2:$C1037,$C1037),"000")</f>
        <v>F3-ALERTAS-098</v>
      </c>
      <c r="E1037" s="7" t="s">
        <v>1105</v>
      </c>
      <c r="F1037" s="7" t="s">
        <v>1008</v>
      </c>
      <c r="G1037" s="7" t="s">
        <v>4</v>
      </c>
    </row>
    <row r="1038" spans="1:7">
      <c r="A1038" s="7" t="s">
        <v>1006</v>
      </c>
      <c r="B1038" s="7" t="s">
        <v>36</v>
      </c>
      <c r="C1038" s="7" t="str">
        <f>VLOOKUP(B1038,Indice!$B$1:$C$22,2,0)</f>
        <v>ALERTAS</v>
      </c>
      <c r="D1038" s="7" t="str">
        <f>$A1038&amp;"-"&amp;$C1038&amp;"-"&amp;TEXT(COUNTIFS($A$2:$A1038,$A1038,$C$2:$C1038,$C1038),"000")</f>
        <v>F3-ALERTAS-099</v>
      </c>
      <c r="E1038" s="7" t="s">
        <v>1106</v>
      </c>
      <c r="F1038" s="7" t="s">
        <v>1008</v>
      </c>
      <c r="G1038" s="7" t="s">
        <v>4</v>
      </c>
    </row>
    <row r="1039" spans="1:7">
      <c r="A1039" s="7" t="s">
        <v>1006</v>
      </c>
      <c r="B1039" s="7" t="s">
        <v>36</v>
      </c>
      <c r="C1039" s="7" t="str">
        <f>VLOOKUP(B1039,Indice!$B$1:$C$22,2,0)</f>
        <v>ALERTAS</v>
      </c>
      <c r="D1039" s="7" t="str">
        <f>$A1039&amp;"-"&amp;$C1039&amp;"-"&amp;TEXT(COUNTIFS($A$2:$A1039,$A1039,$C$2:$C1039,$C1039),"000")</f>
        <v>F3-ALERTAS-100</v>
      </c>
      <c r="E1039" s="7" t="s">
        <v>1107</v>
      </c>
      <c r="F1039" s="7" t="s">
        <v>1008</v>
      </c>
      <c r="G1039" s="7" t="s">
        <v>4</v>
      </c>
    </row>
    <row r="1040" spans="1:7">
      <c r="A1040" s="7" t="s">
        <v>1006</v>
      </c>
      <c r="B1040" s="7" t="s">
        <v>36</v>
      </c>
      <c r="C1040" s="7" t="str">
        <f>VLOOKUP(B1040,Indice!$B$1:$C$22,2,0)</f>
        <v>ALERTAS</v>
      </c>
      <c r="D1040" s="7" t="str">
        <f>$A1040&amp;"-"&amp;$C1040&amp;"-"&amp;TEXT(COUNTIFS($A$2:$A1040,$A1040,$C$2:$C1040,$C1040),"000")</f>
        <v>F3-ALERTAS-101</v>
      </c>
      <c r="E1040" s="7" t="s">
        <v>1108</v>
      </c>
      <c r="F1040" s="7" t="s">
        <v>1008</v>
      </c>
      <c r="G1040" s="7" t="s">
        <v>4</v>
      </c>
    </row>
    <row r="1041" spans="1:7">
      <c r="A1041" s="7" t="s">
        <v>1006</v>
      </c>
      <c r="B1041" s="7" t="s">
        <v>36</v>
      </c>
      <c r="C1041" s="7" t="str">
        <f>VLOOKUP(B1041,Indice!$B$1:$C$22,2,0)</f>
        <v>ALERTAS</v>
      </c>
      <c r="D1041" s="7" t="str">
        <f>$A1041&amp;"-"&amp;$C1041&amp;"-"&amp;TEXT(COUNTIFS($A$2:$A1041,$A1041,$C$2:$C1041,$C1041),"000")</f>
        <v>F3-ALERTAS-102</v>
      </c>
      <c r="E1041" s="7" t="s">
        <v>1109</v>
      </c>
      <c r="F1041" s="7" t="s">
        <v>1008</v>
      </c>
      <c r="G1041" s="7" t="s">
        <v>4</v>
      </c>
    </row>
    <row r="1042" spans="1:7">
      <c r="A1042" s="7" t="s">
        <v>1006</v>
      </c>
      <c r="B1042" s="7" t="s">
        <v>36</v>
      </c>
      <c r="C1042" s="7" t="str">
        <f>VLOOKUP(B1042,Indice!$B$1:$C$22,2,0)</f>
        <v>ALERTAS</v>
      </c>
      <c r="D1042" s="7" t="str">
        <f>$A1042&amp;"-"&amp;$C1042&amp;"-"&amp;TEXT(COUNTIFS($A$2:$A1042,$A1042,$C$2:$C1042,$C1042),"000")</f>
        <v>F3-ALERTAS-103</v>
      </c>
      <c r="E1042" s="7" t="s">
        <v>1110</v>
      </c>
      <c r="F1042" s="7" t="s">
        <v>1008</v>
      </c>
      <c r="G1042" s="7" t="s">
        <v>4</v>
      </c>
    </row>
    <row r="1043" spans="1:7">
      <c r="A1043" s="7" t="s">
        <v>1006</v>
      </c>
      <c r="B1043" s="7" t="s">
        <v>36</v>
      </c>
      <c r="C1043" s="7" t="str">
        <f>VLOOKUP(B1043,Indice!$B$1:$C$22,2,0)</f>
        <v>ALERTAS</v>
      </c>
      <c r="D1043" s="7" t="str">
        <f>$A1043&amp;"-"&amp;$C1043&amp;"-"&amp;TEXT(COUNTIFS($A$2:$A1043,$A1043,$C$2:$C1043,$C1043),"000")</f>
        <v>F3-ALERTAS-104</v>
      </c>
      <c r="E1043" s="7" t="s">
        <v>1111</v>
      </c>
      <c r="F1043" s="7" t="s">
        <v>1008</v>
      </c>
      <c r="G1043" s="7" t="s">
        <v>4</v>
      </c>
    </row>
    <row r="1044" spans="1:7">
      <c r="A1044" s="7" t="s">
        <v>1006</v>
      </c>
      <c r="B1044" s="7" t="s">
        <v>36</v>
      </c>
      <c r="C1044" s="7" t="str">
        <f>VLOOKUP(B1044,Indice!$B$1:$C$22,2,0)</f>
        <v>ALERTAS</v>
      </c>
      <c r="D1044" s="7" t="str">
        <f>$A1044&amp;"-"&amp;$C1044&amp;"-"&amp;TEXT(COUNTIFS($A$2:$A1044,$A1044,$C$2:$C1044,$C1044),"000")</f>
        <v>F3-ALERTAS-105</v>
      </c>
      <c r="E1044" s="7" t="s">
        <v>1112</v>
      </c>
      <c r="F1044" s="7" t="s">
        <v>1008</v>
      </c>
      <c r="G1044" s="7" t="s">
        <v>4</v>
      </c>
    </row>
    <row r="1045" spans="1:7">
      <c r="A1045" s="7" t="s">
        <v>1006</v>
      </c>
      <c r="B1045" s="7" t="s">
        <v>36</v>
      </c>
      <c r="C1045" s="7" t="str">
        <f>VLOOKUP(B1045,Indice!$B$1:$C$22,2,0)</f>
        <v>ALERTAS</v>
      </c>
      <c r="D1045" s="7" t="str">
        <f>$A1045&amp;"-"&amp;$C1045&amp;"-"&amp;TEXT(COUNTIFS($A$2:$A1045,$A1045,$C$2:$C1045,$C1045),"000")</f>
        <v>F3-ALERTAS-106</v>
      </c>
      <c r="E1045" s="7" t="s">
        <v>1113</v>
      </c>
      <c r="F1045" s="7" t="s">
        <v>1008</v>
      </c>
      <c r="G1045" s="7" t="s">
        <v>4</v>
      </c>
    </row>
    <row r="1046" spans="1:7">
      <c r="A1046" s="7" t="s">
        <v>1006</v>
      </c>
      <c r="B1046" s="7" t="s">
        <v>36</v>
      </c>
      <c r="C1046" s="7" t="str">
        <f>VLOOKUP(B1046,Indice!$B$1:$C$22,2,0)</f>
        <v>ALERTAS</v>
      </c>
      <c r="D1046" s="7" t="str">
        <f>$A1046&amp;"-"&amp;$C1046&amp;"-"&amp;TEXT(COUNTIFS($A$2:$A1046,$A1046,$C$2:$C1046,$C1046),"000")</f>
        <v>F3-ALERTAS-107</v>
      </c>
      <c r="E1046" s="7" t="s">
        <v>1114</v>
      </c>
      <c r="F1046" s="7" t="s">
        <v>1008</v>
      </c>
      <c r="G1046" s="7" t="s">
        <v>4</v>
      </c>
    </row>
    <row r="1047" spans="1:7">
      <c r="A1047" s="7" t="s">
        <v>1006</v>
      </c>
      <c r="B1047" s="7" t="s">
        <v>36</v>
      </c>
      <c r="C1047" s="7" t="str">
        <f>VLOOKUP(B1047,Indice!$B$1:$C$22,2,0)</f>
        <v>ALERTAS</v>
      </c>
      <c r="D1047" s="7" t="str">
        <f>$A1047&amp;"-"&amp;$C1047&amp;"-"&amp;TEXT(COUNTIFS($A$2:$A1047,$A1047,$C$2:$C1047,$C1047),"000")</f>
        <v>F3-ALERTAS-108</v>
      </c>
      <c r="E1047" s="7" t="s">
        <v>1115</v>
      </c>
      <c r="F1047" s="7" t="s">
        <v>1008</v>
      </c>
      <c r="G1047" s="7" t="s">
        <v>4</v>
      </c>
    </row>
    <row r="1048" spans="1:7">
      <c r="A1048" s="7" t="s">
        <v>1006</v>
      </c>
      <c r="B1048" s="7" t="s">
        <v>36</v>
      </c>
      <c r="C1048" s="7" t="str">
        <f>VLOOKUP(B1048,Indice!$B$1:$C$22,2,0)</f>
        <v>ALERTAS</v>
      </c>
      <c r="D1048" s="7" t="str">
        <f>$A1048&amp;"-"&amp;$C1048&amp;"-"&amp;TEXT(COUNTIFS($A$2:$A1048,$A1048,$C$2:$C1048,$C1048),"000")</f>
        <v>F3-ALERTAS-109</v>
      </c>
      <c r="E1048" s="7" t="s">
        <v>1116</v>
      </c>
      <c r="F1048" s="7" t="s">
        <v>1008</v>
      </c>
      <c r="G1048" s="7" t="s">
        <v>4</v>
      </c>
    </row>
    <row r="1049" spans="1:7">
      <c r="A1049" s="7" t="s">
        <v>1006</v>
      </c>
      <c r="B1049" s="7" t="s">
        <v>36</v>
      </c>
      <c r="C1049" s="7" t="str">
        <f>VLOOKUP(B1049,Indice!$B$1:$C$22,2,0)</f>
        <v>ALERTAS</v>
      </c>
      <c r="D1049" s="7" t="str">
        <f>$A1049&amp;"-"&amp;$C1049&amp;"-"&amp;TEXT(COUNTIFS($A$2:$A1049,$A1049,$C$2:$C1049,$C1049),"000")</f>
        <v>F3-ALERTAS-110</v>
      </c>
      <c r="E1049" s="7" t="s">
        <v>1117</v>
      </c>
      <c r="F1049" s="7" t="s">
        <v>1008</v>
      </c>
      <c r="G1049" s="7" t="s">
        <v>4</v>
      </c>
    </row>
    <row r="1050" spans="1:7">
      <c r="A1050" s="7" t="s">
        <v>1006</v>
      </c>
      <c r="B1050" s="7" t="s">
        <v>36</v>
      </c>
      <c r="C1050" s="7" t="str">
        <f>VLOOKUP(B1050,Indice!$B$1:$C$22,2,0)</f>
        <v>ALERTAS</v>
      </c>
      <c r="D1050" s="7" t="str">
        <f>$A1050&amp;"-"&amp;$C1050&amp;"-"&amp;TEXT(COUNTIFS($A$2:$A1050,$A1050,$C$2:$C1050,$C1050),"000")</f>
        <v>F3-ALERTAS-111</v>
      </c>
      <c r="E1050" s="7" t="s">
        <v>1118</v>
      </c>
      <c r="F1050" s="7" t="s">
        <v>1008</v>
      </c>
      <c r="G1050" s="7" t="s">
        <v>4</v>
      </c>
    </row>
    <row r="1051" spans="1:7">
      <c r="A1051" s="7" t="s">
        <v>1006</v>
      </c>
      <c r="B1051" s="7" t="s">
        <v>36</v>
      </c>
      <c r="C1051" s="7" t="str">
        <f>VLOOKUP(B1051,Indice!$B$1:$C$22,2,0)</f>
        <v>ALERTAS</v>
      </c>
      <c r="D1051" s="7" t="str">
        <f>$A1051&amp;"-"&amp;$C1051&amp;"-"&amp;TEXT(COUNTIFS($A$2:$A1051,$A1051,$C$2:$C1051,$C1051),"000")</f>
        <v>F3-ALERTAS-112</v>
      </c>
      <c r="E1051" s="7" t="s">
        <v>1119</v>
      </c>
      <c r="F1051" s="7" t="s">
        <v>1008</v>
      </c>
      <c r="G1051" s="7" t="s">
        <v>4</v>
      </c>
    </row>
    <row r="1052" spans="1:7">
      <c r="A1052" s="7" t="s">
        <v>1006</v>
      </c>
      <c r="B1052" s="7" t="s">
        <v>36</v>
      </c>
      <c r="C1052" s="7" t="str">
        <f>VLOOKUP(B1052,Indice!$B$1:$C$22,2,0)</f>
        <v>ALERTAS</v>
      </c>
      <c r="D1052" s="7" t="str">
        <f>$A1052&amp;"-"&amp;$C1052&amp;"-"&amp;TEXT(COUNTIFS($A$2:$A1052,$A1052,$C$2:$C1052,$C1052),"000")</f>
        <v>F3-ALERTAS-113</v>
      </c>
      <c r="E1052" s="7" t="s">
        <v>1120</v>
      </c>
      <c r="F1052" s="7" t="s">
        <v>1008</v>
      </c>
      <c r="G1052" s="7" t="s">
        <v>4</v>
      </c>
    </row>
    <row r="1053" spans="1:7">
      <c r="A1053" s="7" t="s">
        <v>1006</v>
      </c>
      <c r="B1053" s="7" t="s">
        <v>36</v>
      </c>
      <c r="C1053" s="7" t="str">
        <f>VLOOKUP(B1053,Indice!$B$1:$C$22,2,0)</f>
        <v>ALERTAS</v>
      </c>
      <c r="D1053" s="7" t="str">
        <f>$A1053&amp;"-"&amp;$C1053&amp;"-"&amp;TEXT(COUNTIFS($A$2:$A1053,$A1053,$C$2:$C1053,$C1053),"000")</f>
        <v>F3-ALERTAS-114</v>
      </c>
      <c r="E1053" s="7" t="s">
        <v>1121</v>
      </c>
      <c r="F1053" s="7" t="s">
        <v>1008</v>
      </c>
      <c r="G1053" s="7" t="s">
        <v>4</v>
      </c>
    </row>
    <row r="1054" spans="1:7">
      <c r="A1054" s="7" t="s">
        <v>1006</v>
      </c>
      <c r="B1054" s="7" t="s">
        <v>36</v>
      </c>
      <c r="C1054" s="7" t="str">
        <f>VLOOKUP(B1054,Indice!$B$1:$C$22,2,0)</f>
        <v>ALERTAS</v>
      </c>
      <c r="D1054" s="7" t="str">
        <f>$A1054&amp;"-"&amp;$C1054&amp;"-"&amp;TEXT(COUNTIFS($A$2:$A1054,$A1054,$C$2:$C1054,$C1054),"000")</f>
        <v>F3-ALERTAS-115</v>
      </c>
      <c r="E1054" s="7" t="s">
        <v>1122</v>
      </c>
      <c r="F1054" s="7" t="s">
        <v>1008</v>
      </c>
      <c r="G1054" s="7" t="s">
        <v>4</v>
      </c>
    </row>
    <row r="1055" spans="1:7">
      <c r="A1055" s="7" t="s">
        <v>1006</v>
      </c>
      <c r="B1055" s="7" t="s">
        <v>36</v>
      </c>
      <c r="C1055" s="7" t="str">
        <f>VLOOKUP(B1055,Indice!$B$1:$C$22,2,0)</f>
        <v>ALERTAS</v>
      </c>
      <c r="D1055" s="7" t="str">
        <f>$A1055&amp;"-"&amp;$C1055&amp;"-"&amp;TEXT(COUNTIFS($A$2:$A1055,$A1055,$C$2:$C1055,$C1055),"000")</f>
        <v>F3-ALERTAS-116</v>
      </c>
      <c r="E1055" s="7" t="s">
        <v>1123</v>
      </c>
      <c r="F1055" s="7" t="s">
        <v>1008</v>
      </c>
      <c r="G1055" s="7" t="s">
        <v>4</v>
      </c>
    </row>
    <row r="1056" spans="1:7">
      <c r="A1056" s="7" t="s">
        <v>1006</v>
      </c>
      <c r="B1056" s="7" t="s">
        <v>36</v>
      </c>
      <c r="C1056" s="7" t="str">
        <f>VLOOKUP(B1056,Indice!$B$1:$C$22,2,0)</f>
        <v>ALERTAS</v>
      </c>
      <c r="D1056" s="7" t="str">
        <f>$A1056&amp;"-"&amp;$C1056&amp;"-"&amp;TEXT(COUNTIFS($A$2:$A1056,$A1056,$C$2:$C1056,$C1056),"000")</f>
        <v>F3-ALERTAS-117</v>
      </c>
      <c r="E1056" s="7" t="s">
        <v>1124</v>
      </c>
      <c r="F1056" s="7" t="s">
        <v>1008</v>
      </c>
      <c r="G1056" s="7" t="s">
        <v>4</v>
      </c>
    </row>
    <row r="1057" spans="1:7">
      <c r="A1057" s="7" t="s">
        <v>1006</v>
      </c>
      <c r="B1057" s="7" t="s">
        <v>36</v>
      </c>
      <c r="C1057" s="7" t="str">
        <f>VLOOKUP(B1057,Indice!$B$1:$C$22,2,0)</f>
        <v>ALERTAS</v>
      </c>
      <c r="D1057" s="7" t="str">
        <f>$A1057&amp;"-"&amp;$C1057&amp;"-"&amp;TEXT(COUNTIFS($A$2:$A1057,$A1057,$C$2:$C1057,$C1057),"000")</f>
        <v>F3-ALERTAS-118</v>
      </c>
      <c r="E1057" s="7" t="s">
        <v>1125</v>
      </c>
      <c r="F1057" s="7" t="s">
        <v>1008</v>
      </c>
      <c r="G1057" s="7" t="s">
        <v>4</v>
      </c>
    </row>
    <row r="1058" spans="1:7">
      <c r="A1058" s="7" t="s">
        <v>1006</v>
      </c>
      <c r="B1058" s="7" t="s">
        <v>36</v>
      </c>
      <c r="C1058" s="7" t="str">
        <f>VLOOKUP(B1058,Indice!$B$1:$C$22,2,0)</f>
        <v>ALERTAS</v>
      </c>
      <c r="D1058" s="7" t="str">
        <f>$A1058&amp;"-"&amp;$C1058&amp;"-"&amp;TEXT(COUNTIFS($A$2:$A1058,$A1058,$C$2:$C1058,$C1058),"000")</f>
        <v>F3-ALERTAS-119</v>
      </c>
      <c r="E1058" s="7" t="s">
        <v>1126</v>
      </c>
      <c r="F1058" s="7" t="s">
        <v>1008</v>
      </c>
      <c r="G1058" s="7" t="s">
        <v>4</v>
      </c>
    </row>
    <row r="1059" spans="1:7">
      <c r="A1059" s="7" t="s">
        <v>1006</v>
      </c>
      <c r="B1059" s="7" t="s">
        <v>36</v>
      </c>
      <c r="C1059" s="7" t="str">
        <f>VLOOKUP(B1059,Indice!$B$1:$C$22,2,0)</f>
        <v>ALERTAS</v>
      </c>
      <c r="D1059" s="7" t="str">
        <f>$A1059&amp;"-"&amp;$C1059&amp;"-"&amp;TEXT(COUNTIFS($A$2:$A1059,$A1059,$C$2:$C1059,$C1059),"000")</f>
        <v>F3-ALERTAS-120</v>
      </c>
      <c r="E1059" s="7" t="s">
        <v>1127</v>
      </c>
      <c r="F1059" s="7" t="s">
        <v>1008</v>
      </c>
      <c r="G1059" s="7" t="s">
        <v>4</v>
      </c>
    </row>
    <row r="1060" spans="1:7">
      <c r="A1060" s="7" t="s">
        <v>1006</v>
      </c>
      <c r="B1060" s="7" t="s">
        <v>36</v>
      </c>
      <c r="C1060" s="7" t="str">
        <f>VLOOKUP(B1060,Indice!$B$1:$C$22,2,0)</f>
        <v>ALERTAS</v>
      </c>
      <c r="D1060" s="7" t="str">
        <f>$A1060&amp;"-"&amp;$C1060&amp;"-"&amp;TEXT(COUNTIFS($A$2:$A1060,$A1060,$C$2:$C1060,$C1060),"000")</f>
        <v>F3-ALERTAS-121</v>
      </c>
      <c r="E1060" s="7" t="s">
        <v>1128</v>
      </c>
      <c r="F1060" s="7" t="s">
        <v>1008</v>
      </c>
      <c r="G1060" s="7" t="s">
        <v>4</v>
      </c>
    </row>
    <row r="1061" spans="1:7">
      <c r="A1061" s="7" t="s">
        <v>1006</v>
      </c>
      <c r="B1061" s="7" t="s">
        <v>36</v>
      </c>
      <c r="C1061" s="7" t="str">
        <f>VLOOKUP(B1061,Indice!$B$1:$C$22,2,0)</f>
        <v>ALERTAS</v>
      </c>
      <c r="D1061" s="7" t="str">
        <f>$A1061&amp;"-"&amp;$C1061&amp;"-"&amp;TEXT(COUNTIFS($A$2:$A1061,$A1061,$C$2:$C1061,$C1061),"000")</f>
        <v>F3-ALERTAS-122</v>
      </c>
      <c r="E1061" s="7" t="s">
        <v>1129</v>
      </c>
      <c r="F1061" s="7" t="s">
        <v>1008</v>
      </c>
      <c r="G1061" s="7" t="s">
        <v>4</v>
      </c>
    </row>
    <row r="1062" spans="1:7">
      <c r="A1062" s="7" t="s">
        <v>1006</v>
      </c>
      <c r="B1062" s="7" t="s">
        <v>36</v>
      </c>
      <c r="C1062" s="7" t="str">
        <f>VLOOKUP(B1062,Indice!$B$1:$C$22,2,0)</f>
        <v>ALERTAS</v>
      </c>
      <c r="D1062" s="7" t="str">
        <f>$A1062&amp;"-"&amp;$C1062&amp;"-"&amp;TEXT(COUNTIFS($A$2:$A1062,$A1062,$C$2:$C1062,$C1062),"000")</f>
        <v>F3-ALERTAS-123</v>
      </c>
      <c r="E1062" s="7" t="s">
        <v>1130</v>
      </c>
      <c r="F1062" s="7" t="s">
        <v>1008</v>
      </c>
      <c r="G1062" s="7" t="s">
        <v>4</v>
      </c>
    </row>
    <row r="1063" spans="1:7">
      <c r="A1063" s="7" t="s">
        <v>1006</v>
      </c>
      <c r="B1063" s="7" t="s">
        <v>36</v>
      </c>
      <c r="C1063" s="7" t="str">
        <f>VLOOKUP(B1063,Indice!$B$1:$C$22,2,0)</f>
        <v>ALERTAS</v>
      </c>
      <c r="D1063" s="7" t="str">
        <f>$A1063&amp;"-"&amp;$C1063&amp;"-"&amp;TEXT(COUNTIFS($A$2:$A1063,$A1063,$C$2:$C1063,$C1063),"000")</f>
        <v>F3-ALERTAS-124</v>
      </c>
      <c r="E1063" s="7" t="s">
        <v>1131</v>
      </c>
      <c r="F1063" s="7" t="s">
        <v>1008</v>
      </c>
      <c r="G1063" s="7" t="s">
        <v>4</v>
      </c>
    </row>
    <row r="1064" spans="1:7">
      <c r="A1064" s="7" t="s">
        <v>1006</v>
      </c>
      <c r="B1064" s="7" t="s">
        <v>36</v>
      </c>
      <c r="C1064" s="7" t="str">
        <f>VLOOKUP(B1064,Indice!$B$1:$C$22,2,0)</f>
        <v>ALERTAS</v>
      </c>
      <c r="D1064" s="7" t="str">
        <f>$A1064&amp;"-"&amp;$C1064&amp;"-"&amp;TEXT(COUNTIFS($A$2:$A1064,$A1064,$C$2:$C1064,$C1064),"000")</f>
        <v>F3-ALERTAS-125</v>
      </c>
      <c r="E1064" s="7" t="s">
        <v>1132</v>
      </c>
      <c r="F1064" s="7" t="s">
        <v>1008</v>
      </c>
      <c r="G1064" s="7" t="s">
        <v>4</v>
      </c>
    </row>
    <row r="1065" spans="1:7">
      <c r="A1065" s="7" t="s">
        <v>1006</v>
      </c>
      <c r="B1065" s="7" t="s">
        <v>36</v>
      </c>
      <c r="C1065" s="7" t="str">
        <f>VLOOKUP(B1065,Indice!$B$1:$C$22,2,0)</f>
        <v>ALERTAS</v>
      </c>
      <c r="D1065" s="7" t="str">
        <f>$A1065&amp;"-"&amp;$C1065&amp;"-"&amp;TEXT(COUNTIFS($A$2:$A1065,$A1065,$C$2:$C1065,$C1065),"000")</f>
        <v>F3-ALERTAS-126</v>
      </c>
      <c r="E1065" s="7" t="s">
        <v>1133</v>
      </c>
      <c r="F1065" s="7" t="s">
        <v>1008</v>
      </c>
      <c r="G1065" s="7" t="s">
        <v>4</v>
      </c>
    </row>
    <row r="1066" spans="1:7">
      <c r="A1066" s="7" t="s">
        <v>1006</v>
      </c>
      <c r="B1066" s="7" t="s">
        <v>36</v>
      </c>
      <c r="C1066" s="7" t="str">
        <f>VLOOKUP(B1066,Indice!$B$1:$C$22,2,0)</f>
        <v>ALERTAS</v>
      </c>
      <c r="D1066" s="7" t="str">
        <f>$A1066&amp;"-"&amp;$C1066&amp;"-"&amp;TEXT(COUNTIFS($A$2:$A1066,$A1066,$C$2:$C1066,$C1066),"000")</f>
        <v>F3-ALERTAS-127</v>
      </c>
      <c r="E1066" s="7" t="s">
        <v>1134</v>
      </c>
      <c r="F1066" s="7" t="s">
        <v>1008</v>
      </c>
      <c r="G1066" s="7" t="s">
        <v>4</v>
      </c>
    </row>
    <row r="1067" spans="1:7">
      <c r="A1067" s="7" t="s">
        <v>1006</v>
      </c>
      <c r="B1067" s="7" t="s">
        <v>36</v>
      </c>
      <c r="C1067" s="7" t="str">
        <f>VLOOKUP(B1067,Indice!$B$1:$C$22,2,0)</f>
        <v>ALERTAS</v>
      </c>
      <c r="D1067" s="7" t="str">
        <f>$A1067&amp;"-"&amp;$C1067&amp;"-"&amp;TEXT(COUNTIFS($A$2:$A1067,$A1067,$C$2:$C1067,$C1067),"000")</f>
        <v>F3-ALERTAS-128</v>
      </c>
      <c r="E1067" s="7" t="s">
        <v>1135</v>
      </c>
      <c r="F1067" s="7" t="s">
        <v>1008</v>
      </c>
      <c r="G1067" s="7" t="s">
        <v>4</v>
      </c>
    </row>
    <row r="1068" spans="1:7">
      <c r="A1068" s="7" t="s">
        <v>1006</v>
      </c>
      <c r="B1068" s="7" t="s">
        <v>36</v>
      </c>
      <c r="C1068" s="7" t="str">
        <f>VLOOKUP(B1068,Indice!$B$1:$C$22,2,0)</f>
        <v>ALERTAS</v>
      </c>
      <c r="D1068" s="7" t="str">
        <f>$A1068&amp;"-"&amp;$C1068&amp;"-"&amp;TEXT(COUNTIFS($A$2:$A1068,$A1068,$C$2:$C1068,$C1068),"000")</f>
        <v>F3-ALERTAS-129</v>
      </c>
      <c r="E1068" s="7" t="s">
        <v>1136</v>
      </c>
      <c r="F1068" s="7" t="s">
        <v>1008</v>
      </c>
      <c r="G1068" s="7" t="s">
        <v>4</v>
      </c>
    </row>
    <row r="1069" spans="1:7">
      <c r="A1069" s="7" t="s">
        <v>1006</v>
      </c>
      <c r="B1069" s="7" t="s">
        <v>36</v>
      </c>
      <c r="C1069" s="7" t="str">
        <f>VLOOKUP(B1069,Indice!$B$1:$C$22,2,0)</f>
        <v>ALERTAS</v>
      </c>
      <c r="D1069" s="7" t="str">
        <f>$A1069&amp;"-"&amp;$C1069&amp;"-"&amp;TEXT(COUNTIFS($A$2:$A1069,$A1069,$C$2:$C1069,$C1069),"000")</f>
        <v>F3-ALERTAS-130</v>
      </c>
      <c r="E1069" s="7" t="s">
        <v>1137</v>
      </c>
      <c r="F1069" s="7" t="s">
        <v>1008</v>
      </c>
      <c r="G1069" s="7" t="s">
        <v>4</v>
      </c>
    </row>
    <row r="1070" spans="1:7">
      <c r="A1070" s="7" t="s">
        <v>1006</v>
      </c>
      <c r="B1070" s="7" t="s">
        <v>36</v>
      </c>
      <c r="C1070" s="7" t="str">
        <f>VLOOKUP(B1070,Indice!$B$1:$C$22,2,0)</f>
        <v>ALERTAS</v>
      </c>
      <c r="D1070" s="7" t="str">
        <f>$A1070&amp;"-"&amp;$C1070&amp;"-"&amp;TEXT(COUNTIFS($A$2:$A1070,$A1070,$C$2:$C1070,$C1070),"000")</f>
        <v>F3-ALERTAS-131</v>
      </c>
      <c r="E1070" s="7" t="s">
        <v>1138</v>
      </c>
      <c r="F1070" s="7" t="s">
        <v>1008</v>
      </c>
      <c r="G1070" s="7" t="s">
        <v>4</v>
      </c>
    </row>
    <row r="1071" spans="1:7">
      <c r="A1071" s="7" t="s">
        <v>1006</v>
      </c>
      <c r="B1071" s="7" t="s">
        <v>36</v>
      </c>
      <c r="C1071" s="7" t="str">
        <f>VLOOKUP(B1071,Indice!$B$1:$C$22,2,0)</f>
        <v>ALERTAS</v>
      </c>
      <c r="D1071" s="7" t="str">
        <f>$A1071&amp;"-"&amp;$C1071&amp;"-"&amp;TEXT(COUNTIFS($A$2:$A1071,$A1071,$C$2:$C1071,$C1071),"000")</f>
        <v>F3-ALERTAS-132</v>
      </c>
      <c r="E1071" s="7" t="s">
        <v>1139</v>
      </c>
      <c r="F1071" s="7" t="s">
        <v>1008</v>
      </c>
      <c r="G1071" s="7" t="s">
        <v>4</v>
      </c>
    </row>
    <row r="1072" spans="1:7">
      <c r="A1072" s="7" t="s">
        <v>1006</v>
      </c>
      <c r="B1072" s="7" t="s">
        <v>36</v>
      </c>
      <c r="C1072" s="7" t="str">
        <f>VLOOKUP(B1072,Indice!$B$1:$C$22,2,0)</f>
        <v>ALERTAS</v>
      </c>
      <c r="D1072" s="7" t="str">
        <f>$A1072&amp;"-"&amp;$C1072&amp;"-"&amp;TEXT(COUNTIFS($A$2:$A1072,$A1072,$C$2:$C1072,$C1072),"000")</f>
        <v>F3-ALERTAS-133</v>
      </c>
      <c r="E1072" s="7" t="s">
        <v>1140</v>
      </c>
      <c r="F1072" s="7" t="s">
        <v>1008</v>
      </c>
      <c r="G1072" s="7" t="s">
        <v>4</v>
      </c>
    </row>
    <row r="1073" spans="1:7">
      <c r="A1073" s="7" t="s">
        <v>1006</v>
      </c>
      <c r="B1073" s="7" t="s">
        <v>36</v>
      </c>
      <c r="C1073" s="7" t="str">
        <f>VLOOKUP(B1073,Indice!$B$1:$C$22,2,0)</f>
        <v>ALERTAS</v>
      </c>
      <c r="D1073" s="7" t="str">
        <f>$A1073&amp;"-"&amp;$C1073&amp;"-"&amp;TEXT(COUNTIFS($A$2:$A1073,$A1073,$C$2:$C1073,$C1073),"000")</f>
        <v>F3-ALERTAS-134</v>
      </c>
      <c r="E1073" s="7" t="s">
        <v>1141</v>
      </c>
      <c r="F1073" s="7" t="s">
        <v>1008</v>
      </c>
      <c r="G1073" s="7" t="s">
        <v>4</v>
      </c>
    </row>
    <row r="1074" spans="1:7">
      <c r="A1074" s="7" t="s">
        <v>1006</v>
      </c>
      <c r="B1074" s="7" t="s">
        <v>36</v>
      </c>
      <c r="C1074" s="7" t="str">
        <f>VLOOKUP(B1074,Indice!$B$1:$C$22,2,0)</f>
        <v>ALERTAS</v>
      </c>
      <c r="D1074" s="7" t="str">
        <f>$A1074&amp;"-"&amp;$C1074&amp;"-"&amp;TEXT(COUNTIFS($A$2:$A1074,$A1074,$C$2:$C1074,$C1074),"000")</f>
        <v>F3-ALERTAS-135</v>
      </c>
      <c r="E1074" s="7" t="s">
        <v>1142</v>
      </c>
      <c r="F1074" s="7" t="s">
        <v>1008</v>
      </c>
      <c r="G1074" s="7" t="s">
        <v>4</v>
      </c>
    </row>
    <row r="1075" spans="1:7">
      <c r="A1075" s="7" t="s">
        <v>1006</v>
      </c>
      <c r="B1075" s="7" t="s">
        <v>36</v>
      </c>
      <c r="C1075" s="7" t="str">
        <f>VLOOKUP(B1075,Indice!$B$1:$C$22,2,0)</f>
        <v>ALERTAS</v>
      </c>
      <c r="D1075" s="7" t="str">
        <f>$A1075&amp;"-"&amp;$C1075&amp;"-"&amp;TEXT(COUNTIFS($A$2:$A1075,$A1075,$C$2:$C1075,$C1075),"000")</f>
        <v>F3-ALERTAS-136</v>
      </c>
      <c r="E1075" s="7" t="s">
        <v>1143</v>
      </c>
      <c r="F1075" s="7" t="s">
        <v>1008</v>
      </c>
      <c r="G1075" s="7" t="s">
        <v>4</v>
      </c>
    </row>
    <row r="1076" spans="1:7">
      <c r="A1076" s="7" t="s">
        <v>1006</v>
      </c>
      <c r="B1076" s="7" t="s">
        <v>36</v>
      </c>
      <c r="C1076" s="7" t="str">
        <f>VLOOKUP(B1076,Indice!$B$1:$C$22,2,0)</f>
        <v>ALERTAS</v>
      </c>
      <c r="D1076" s="7" t="str">
        <f>$A1076&amp;"-"&amp;$C1076&amp;"-"&amp;TEXT(COUNTIFS($A$2:$A1076,$A1076,$C$2:$C1076,$C1076),"000")</f>
        <v>F3-ALERTAS-137</v>
      </c>
      <c r="E1076" s="7" t="s">
        <v>1144</v>
      </c>
      <c r="F1076" s="7" t="s">
        <v>1008</v>
      </c>
      <c r="G1076" s="7" t="s">
        <v>4</v>
      </c>
    </row>
    <row r="1077" spans="1:7">
      <c r="A1077" s="7" t="s">
        <v>1006</v>
      </c>
      <c r="B1077" s="7" t="s">
        <v>36</v>
      </c>
      <c r="C1077" s="7" t="str">
        <f>VLOOKUP(B1077,Indice!$B$1:$C$22,2,0)</f>
        <v>ALERTAS</v>
      </c>
      <c r="D1077" s="7" t="str">
        <f>$A1077&amp;"-"&amp;$C1077&amp;"-"&amp;TEXT(COUNTIFS($A$2:$A1077,$A1077,$C$2:$C1077,$C1077),"000")</f>
        <v>F3-ALERTAS-138</v>
      </c>
      <c r="E1077" s="7" t="s">
        <v>1145</v>
      </c>
      <c r="F1077" s="7" t="s">
        <v>1008</v>
      </c>
      <c r="G1077" s="7" t="s">
        <v>4</v>
      </c>
    </row>
    <row r="1078" spans="1:7">
      <c r="A1078" s="7" t="s">
        <v>1006</v>
      </c>
      <c r="B1078" s="7" t="s">
        <v>36</v>
      </c>
      <c r="C1078" s="7" t="str">
        <f>VLOOKUP(B1078,Indice!$B$1:$C$22,2,0)</f>
        <v>ALERTAS</v>
      </c>
      <c r="D1078" s="7" t="str">
        <f>$A1078&amp;"-"&amp;$C1078&amp;"-"&amp;TEXT(COUNTIFS($A$2:$A1078,$A1078,$C$2:$C1078,$C1078),"000")</f>
        <v>F3-ALERTAS-139</v>
      </c>
      <c r="E1078" s="7" t="s">
        <v>1146</v>
      </c>
      <c r="F1078" s="7" t="s">
        <v>1008</v>
      </c>
      <c r="G1078" s="7" t="s">
        <v>4</v>
      </c>
    </row>
    <row r="1079" spans="1:7">
      <c r="A1079" s="7" t="s">
        <v>1006</v>
      </c>
      <c r="B1079" s="7" t="s">
        <v>36</v>
      </c>
      <c r="C1079" s="7" t="str">
        <f>VLOOKUP(B1079,Indice!$B$1:$C$22,2,0)</f>
        <v>ALERTAS</v>
      </c>
      <c r="D1079" s="7" t="str">
        <f>$A1079&amp;"-"&amp;$C1079&amp;"-"&amp;TEXT(COUNTIFS($A$2:$A1079,$A1079,$C$2:$C1079,$C1079),"000")</f>
        <v>F3-ALERTAS-140</v>
      </c>
      <c r="E1079" s="7" t="s">
        <v>1147</v>
      </c>
      <c r="F1079" s="7" t="s">
        <v>1008</v>
      </c>
      <c r="G1079" s="7" t="s">
        <v>4</v>
      </c>
    </row>
    <row r="1080" spans="1:7">
      <c r="A1080" s="7" t="s">
        <v>1006</v>
      </c>
      <c r="B1080" s="7" t="s">
        <v>36</v>
      </c>
      <c r="C1080" s="7" t="str">
        <f>VLOOKUP(B1080,Indice!$B$1:$C$22,2,0)</f>
        <v>ALERTAS</v>
      </c>
      <c r="D1080" s="7" t="str">
        <f>$A1080&amp;"-"&amp;$C1080&amp;"-"&amp;TEXT(COUNTIFS($A$2:$A1080,$A1080,$C$2:$C1080,$C1080),"000")</f>
        <v>F3-ALERTAS-141</v>
      </c>
      <c r="E1080" s="7" t="s">
        <v>1148</v>
      </c>
      <c r="F1080" s="7" t="s">
        <v>1008</v>
      </c>
      <c r="G1080" s="7" t="s">
        <v>4</v>
      </c>
    </row>
    <row r="1081" spans="1:7">
      <c r="A1081" s="7" t="s">
        <v>1006</v>
      </c>
      <c r="B1081" s="7" t="s">
        <v>36</v>
      </c>
      <c r="C1081" s="7" t="str">
        <f>VLOOKUP(B1081,Indice!$B$1:$C$22,2,0)</f>
        <v>ALERTAS</v>
      </c>
      <c r="D1081" s="7" t="str">
        <f>$A1081&amp;"-"&amp;$C1081&amp;"-"&amp;TEXT(COUNTIFS($A$2:$A1081,$A1081,$C$2:$C1081,$C1081),"000")</f>
        <v>F3-ALERTAS-142</v>
      </c>
      <c r="E1081" s="7" t="s">
        <v>1149</v>
      </c>
      <c r="F1081" s="7" t="s">
        <v>1008</v>
      </c>
      <c r="G1081" s="7" t="s">
        <v>4</v>
      </c>
    </row>
    <row r="1082" spans="1:7">
      <c r="A1082" s="7" t="s">
        <v>1006</v>
      </c>
      <c r="B1082" s="7" t="s">
        <v>36</v>
      </c>
      <c r="C1082" s="7" t="str">
        <f>VLOOKUP(B1082,Indice!$B$1:$C$22,2,0)</f>
        <v>ALERTAS</v>
      </c>
      <c r="D1082" s="7" t="str">
        <f>$A1082&amp;"-"&amp;$C1082&amp;"-"&amp;TEXT(COUNTIFS($A$2:$A1082,$A1082,$C$2:$C1082,$C1082),"000")</f>
        <v>F3-ALERTAS-143</v>
      </c>
      <c r="E1082" s="7" t="s">
        <v>1150</v>
      </c>
      <c r="F1082" s="7" t="s">
        <v>1008</v>
      </c>
      <c r="G1082" s="7" t="s">
        <v>4</v>
      </c>
    </row>
    <row r="1083" spans="1:7">
      <c r="A1083" s="7" t="s">
        <v>1006</v>
      </c>
      <c r="B1083" s="7" t="s">
        <v>36</v>
      </c>
      <c r="C1083" s="7" t="str">
        <f>VLOOKUP(B1083,Indice!$B$1:$C$22,2,0)</f>
        <v>ALERTAS</v>
      </c>
      <c r="D1083" s="7" t="str">
        <f>$A1083&amp;"-"&amp;$C1083&amp;"-"&amp;TEXT(COUNTIFS($A$2:$A1083,$A1083,$C$2:$C1083,$C1083),"000")</f>
        <v>F3-ALERTAS-144</v>
      </c>
      <c r="E1083" s="7" t="s">
        <v>1151</v>
      </c>
      <c r="F1083" s="7" t="s">
        <v>1008</v>
      </c>
      <c r="G1083" s="7" t="s">
        <v>4</v>
      </c>
    </row>
    <row r="1084" spans="1:7">
      <c r="A1084" s="7" t="s">
        <v>1006</v>
      </c>
      <c r="B1084" s="7" t="s">
        <v>36</v>
      </c>
      <c r="C1084" s="7" t="str">
        <f>VLOOKUP(B1084,Indice!$B$1:$C$22,2,0)</f>
        <v>ALERTAS</v>
      </c>
      <c r="D1084" s="7" t="str">
        <f>$A1084&amp;"-"&amp;$C1084&amp;"-"&amp;TEXT(COUNTIFS($A$2:$A1084,$A1084,$C$2:$C1084,$C1084),"000")</f>
        <v>F3-ALERTAS-145</v>
      </c>
      <c r="E1084" s="7" t="s">
        <v>1152</v>
      </c>
      <c r="F1084" s="7" t="s">
        <v>1008</v>
      </c>
      <c r="G1084" s="7" t="s">
        <v>4</v>
      </c>
    </row>
    <row r="1085" spans="1:7">
      <c r="A1085" s="7" t="s">
        <v>1006</v>
      </c>
      <c r="B1085" s="7" t="s">
        <v>36</v>
      </c>
      <c r="C1085" s="7" t="str">
        <f>VLOOKUP(B1085,Indice!$B$1:$C$22,2,0)</f>
        <v>ALERTAS</v>
      </c>
      <c r="D1085" s="7" t="str">
        <f>$A1085&amp;"-"&amp;$C1085&amp;"-"&amp;TEXT(COUNTIFS($A$2:$A1085,$A1085,$C$2:$C1085,$C1085),"000")</f>
        <v>F3-ALERTAS-146</v>
      </c>
      <c r="E1085" s="7" t="s">
        <v>1153</v>
      </c>
      <c r="F1085" s="7" t="s">
        <v>1008</v>
      </c>
      <c r="G1085" s="7" t="s">
        <v>4</v>
      </c>
    </row>
    <row r="1086" spans="1:7">
      <c r="A1086" s="7" t="s">
        <v>1006</v>
      </c>
      <c r="B1086" s="7" t="s">
        <v>36</v>
      </c>
      <c r="C1086" s="7" t="str">
        <f>VLOOKUP(B1086,Indice!$B$1:$C$22,2,0)</f>
        <v>ALERTAS</v>
      </c>
      <c r="D1086" s="7" t="str">
        <f>$A1086&amp;"-"&amp;$C1086&amp;"-"&amp;TEXT(COUNTIFS($A$2:$A1086,$A1086,$C$2:$C1086,$C1086),"000")</f>
        <v>F3-ALERTAS-147</v>
      </c>
      <c r="E1086" s="7" t="s">
        <v>1154</v>
      </c>
      <c r="F1086" s="7" t="s">
        <v>1008</v>
      </c>
      <c r="G1086" s="7" t="s">
        <v>4</v>
      </c>
    </row>
    <row r="1087" spans="1:7">
      <c r="A1087" s="7" t="s">
        <v>1006</v>
      </c>
      <c r="B1087" s="7" t="s">
        <v>36</v>
      </c>
      <c r="C1087" s="7" t="str">
        <f>VLOOKUP(B1087,Indice!$B$1:$C$22,2,0)</f>
        <v>ALERTAS</v>
      </c>
      <c r="D1087" s="7" t="str">
        <f>$A1087&amp;"-"&amp;$C1087&amp;"-"&amp;TEXT(COUNTIFS($A$2:$A1087,$A1087,$C$2:$C1087,$C1087),"000")</f>
        <v>F3-ALERTAS-148</v>
      </c>
      <c r="E1087" s="7" t="s">
        <v>1155</v>
      </c>
      <c r="F1087" s="7" t="s">
        <v>1008</v>
      </c>
      <c r="G1087" s="7" t="s">
        <v>4</v>
      </c>
    </row>
    <row r="1088" spans="1:7">
      <c r="A1088" s="7" t="s">
        <v>1006</v>
      </c>
      <c r="B1088" s="7" t="s">
        <v>36</v>
      </c>
      <c r="C1088" s="7" t="str">
        <f>VLOOKUP(B1088,Indice!$B$1:$C$22,2,0)</f>
        <v>ALERTAS</v>
      </c>
      <c r="D1088" s="7" t="str">
        <f>$A1088&amp;"-"&amp;$C1088&amp;"-"&amp;TEXT(COUNTIFS($A$2:$A1088,$A1088,$C$2:$C1088,$C1088),"000")</f>
        <v>F3-ALERTAS-149</v>
      </c>
      <c r="E1088" s="7" t="s">
        <v>1156</v>
      </c>
      <c r="F1088" s="7" t="s">
        <v>1008</v>
      </c>
      <c r="G1088" s="7" t="s">
        <v>4</v>
      </c>
    </row>
    <row r="1089" spans="1:7">
      <c r="A1089" s="7" t="s">
        <v>1006</v>
      </c>
      <c r="B1089" s="7" t="s">
        <v>36</v>
      </c>
      <c r="C1089" s="7" t="str">
        <f>VLOOKUP(B1089,Indice!$B$1:$C$22,2,0)</f>
        <v>ALERTAS</v>
      </c>
      <c r="D1089" s="7" t="str">
        <f>$A1089&amp;"-"&amp;$C1089&amp;"-"&amp;TEXT(COUNTIFS($A$2:$A1089,$A1089,$C$2:$C1089,$C1089),"000")</f>
        <v>F3-ALERTAS-150</v>
      </c>
      <c r="E1089" s="7" t="s">
        <v>1157</v>
      </c>
      <c r="F1089" s="7" t="s">
        <v>1008</v>
      </c>
      <c r="G1089" s="7" t="s">
        <v>4</v>
      </c>
    </row>
    <row r="1090" spans="1:7">
      <c r="A1090" s="7" t="s">
        <v>1006</v>
      </c>
      <c r="B1090" s="7" t="s">
        <v>36</v>
      </c>
      <c r="C1090" s="7" t="str">
        <f>VLOOKUP(B1090,Indice!$B$1:$C$22,2,0)</f>
        <v>ALERTAS</v>
      </c>
      <c r="D1090" s="7" t="str">
        <f>$A1090&amp;"-"&amp;$C1090&amp;"-"&amp;TEXT(COUNTIFS($A$2:$A1090,$A1090,$C$2:$C1090,$C1090),"000")</f>
        <v>F3-ALERTAS-151</v>
      </c>
      <c r="E1090" s="7" t="s">
        <v>1158</v>
      </c>
      <c r="F1090" s="7" t="s">
        <v>1008</v>
      </c>
      <c r="G1090" s="7" t="s">
        <v>4</v>
      </c>
    </row>
    <row r="1091" spans="1:7">
      <c r="A1091" s="7" t="s">
        <v>1006</v>
      </c>
      <c r="B1091" s="7" t="s">
        <v>36</v>
      </c>
      <c r="C1091" s="7" t="str">
        <f>VLOOKUP(B1091,Indice!$B$1:$C$22,2,0)</f>
        <v>ALERTAS</v>
      </c>
      <c r="D1091" s="7" t="str">
        <f>$A1091&amp;"-"&amp;$C1091&amp;"-"&amp;TEXT(COUNTIFS($A$2:$A1091,$A1091,$C$2:$C1091,$C1091),"000")</f>
        <v>F3-ALERTAS-152</v>
      </c>
      <c r="E1091" s="7" t="s">
        <v>1159</v>
      </c>
      <c r="F1091" s="7" t="s">
        <v>1008</v>
      </c>
      <c r="G1091" s="7" t="s">
        <v>4</v>
      </c>
    </row>
    <row r="1092" spans="1:7">
      <c r="A1092" s="7" t="s">
        <v>1006</v>
      </c>
      <c r="B1092" s="7" t="s">
        <v>36</v>
      </c>
      <c r="C1092" s="7" t="str">
        <f>VLOOKUP(B1092,Indice!$B$1:$C$22,2,0)</f>
        <v>ALERTAS</v>
      </c>
      <c r="D1092" s="7" t="str">
        <f>$A1092&amp;"-"&amp;$C1092&amp;"-"&amp;TEXT(COUNTIFS($A$2:$A1092,$A1092,$C$2:$C1092,$C1092),"000")</f>
        <v>F3-ALERTAS-153</v>
      </c>
      <c r="E1092" s="7" t="s">
        <v>1160</v>
      </c>
      <c r="F1092" s="7" t="s">
        <v>1008</v>
      </c>
      <c r="G1092" s="7" t="s">
        <v>4</v>
      </c>
    </row>
    <row r="1093" spans="1:7">
      <c r="A1093" s="7" t="s">
        <v>1006</v>
      </c>
      <c r="B1093" s="7" t="s">
        <v>36</v>
      </c>
      <c r="C1093" s="7" t="str">
        <f>VLOOKUP(B1093,Indice!$B$1:$C$22,2,0)</f>
        <v>ALERTAS</v>
      </c>
      <c r="D1093" s="7" t="str">
        <f>$A1093&amp;"-"&amp;$C1093&amp;"-"&amp;TEXT(COUNTIFS($A$2:$A1093,$A1093,$C$2:$C1093,$C1093),"000")</f>
        <v>F3-ALERTAS-154</v>
      </c>
      <c r="E1093" s="7" t="s">
        <v>1161</v>
      </c>
      <c r="F1093" s="7" t="s">
        <v>1008</v>
      </c>
      <c r="G1093" s="7" t="s">
        <v>4</v>
      </c>
    </row>
    <row r="1094" spans="1:7">
      <c r="A1094" s="7" t="s">
        <v>1006</v>
      </c>
      <c r="B1094" s="7" t="s">
        <v>36</v>
      </c>
      <c r="C1094" s="7" t="str">
        <f>VLOOKUP(B1094,Indice!$B$1:$C$22,2,0)</f>
        <v>ALERTAS</v>
      </c>
      <c r="D1094" s="7" t="str">
        <f>$A1094&amp;"-"&amp;$C1094&amp;"-"&amp;TEXT(COUNTIFS($A$2:$A1094,$A1094,$C$2:$C1094,$C1094),"000")</f>
        <v>F3-ALERTAS-155</v>
      </c>
      <c r="E1094" s="7" t="s">
        <v>1162</v>
      </c>
      <c r="F1094" s="7" t="s">
        <v>1008</v>
      </c>
      <c r="G1094" s="7" t="s">
        <v>4</v>
      </c>
    </row>
    <row r="1095" spans="1:7">
      <c r="A1095" s="7" t="s">
        <v>1006</v>
      </c>
      <c r="B1095" s="7" t="s">
        <v>36</v>
      </c>
      <c r="C1095" s="7" t="str">
        <f>VLOOKUP(B1095,Indice!$B$1:$C$22,2,0)</f>
        <v>ALERTAS</v>
      </c>
      <c r="D1095" s="7" t="str">
        <f>$A1095&amp;"-"&amp;$C1095&amp;"-"&amp;TEXT(COUNTIFS($A$2:$A1095,$A1095,$C$2:$C1095,$C1095),"000")</f>
        <v>F3-ALERTAS-156</v>
      </c>
      <c r="E1095" s="7" t="s">
        <v>1163</v>
      </c>
      <c r="F1095" s="7" t="s">
        <v>1008</v>
      </c>
      <c r="G1095" s="7" t="s">
        <v>4</v>
      </c>
    </row>
    <row r="1096" spans="1:7">
      <c r="A1096" s="7" t="s">
        <v>1006</v>
      </c>
      <c r="B1096" s="7" t="s">
        <v>36</v>
      </c>
      <c r="C1096" s="7" t="str">
        <f>VLOOKUP(B1096,Indice!$B$1:$C$22,2,0)</f>
        <v>ALERTAS</v>
      </c>
      <c r="D1096" s="7" t="str">
        <f>$A1096&amp;"-"&amp;$C1096&amp;"-"&amp;TEXT(COUNTIFS($A$2:$A1096,$A1096,$C$2:$C1096,$C1096),"000")</f>
        <v>F3-ALERTAS-157</v>
      </c>
      <c r="E1096" s="7" t="s">
        <v>1164</v>
      </c>
      <c r="F1096" s="7" t="s">
        <v>1008</v>
      </c>
      <c r="G1096" s="7" t="s">
        <v>4</v>
      </c>
    </row>
    <row r="1097" spans="1:7">
      <c r="A1097" s="7" t="s">
        <v>1006</v>
      </c>
      <c r="B1097" s="7" t="s">
        <v>36</v>
      </c>
      <c r="C1097" s="7" t="str">
        <f>VLOOKUP(B1097,Indice!$B$1:$C$22,2,0)</f>
        <v>ALERTAS</v>
      </c>
      <c r="D1097" s="7" t="str">
        <f>$A1097&amp;"-"&amp;$C1097&amp;"-"&amp;TEXT(COUNTIFS($A$2:$A1097,$A1097,$C$2:$C1097,$C1097),"000")</f>
        <v>F3-ALERTAS-158</v>
      </c>
      <c r="E1097" s="7" t="s">
        <v>1165</v>
      </c>
      <c r="F1097" s="7" t="s">
        <v>1008</v>
      </c>
      <c r="G1097" s="7" t="s">
        <v>4</v>
      </c>
    </row>
    <row r="1098" spans="1:7">
      <c r="A1098" s="7" t="s">
        <v>1006</v>
      </c>
      <c r="B1098" s="7" t="s">
        <v>36</v>
      </c>
      <c r="C1098" s="7" t="str">
        <f>VLOOKUP(B1098,Indice!$B$1:$C$22,2,0)</f>
        <v>ALERTAS</v>
      </c>
      <c r="D1098" s="7" t="str">
        <f>$A1098&amp;"-"&amp;$C1098&amp;"-"&amp;TEXT(COUNTIFS($A$2:$A1098,$A1098,$C$2:$C1098,$C1098),"000")</f>
        <v>F3-ALERTAS-159</v>
      </c>
      <c r="E1098" s="7" t="s">
        <v>1166</v>
      </c>
      <c r="F1098" s="7" t="s">
        <v>1008</v>
      </c>
      <c r="G1098" s="7" t="s">
        <v>4</v>
      </c>
    </row>
    <row r="1099" spans="1:7">
      <c r="A1099" s="7" t="s">
        <v>1006</v>
      </c>
      <c r="B1099" s="7" t="s">
        <v>36</v>
      </c>
      <c r="C1099" s="7" t="str">
        <f>VLOOKUP(B1099,Indice!$B$1:$C$22,2,0)</f>
        <v>ALERTAS</v>
      </c>
      <c r="D1099" s="7" t="str">
        <f>$A1099&amp;"-"&amp;$C1099&amp;"-"&amp;TEXT(COUNTIFS($A$2:$A1099,$A1099,$C$2:$C1099,$C1099),"000")</f>
        <v>F3-ALERTAS-160</v>
      </c>
      <c r="E1099" s="7" t="s">
        <v>1167</v>
      </c>
      <c r="F1099" s="7" t="s">
        <v>1008</v>
      </c>
      <c r="G1099" s="7" t="s">
        <v>4</v>
      </c>
    </row>
    <row r="1100" spans="1:7">
      <c r="A1100" s="7" t="s">
        <v>1006</v>
      </c>
      <c r="B1100" s="7" t="s">
        <v>36</v>
      </c>
      <c r="C1100" s="7" t="str">
        <f>VLOOKUP(B1100,Indice!$B$1:$C$22,2,0)</f>
        <v>ALERTAS</v>
      </c>
      <c r="D1100" s="7" t="str">
        <f>$A1100&amp;"-"&amp;$C1100&amp;"-"&amp;TEXT(COUNTIFS($A$2:$A1100,$A1100,$C$2:$C1100,$C1100),"000")</f>
        <v>F3-ALERTAS-161</v>
      </c>
      <c r="E1100" s="7" t="s">
        <v>1168</v>
      </c>
      <c r="F1100" s="7" t="s">
        <v>1008</v>
      </c>
      <c r="G1100" s="7" t="s">
        <v>4</v>
      </c>
    </row>
    <row r="1101" spans="1:7">
      <c r="A1101" s="7" t="s">
        <v>1006</v>
      </c>
      <c r="B1101" s="7" t="s">
        <v>36</v>
      </c>
      <c r="C1101" s="7" t="str">
        <f>VLOOKUP(B1101,Indice!$B$1:$C$22,2,0)</f>
        <v>ALERTAS</v>
      </c>
      <c r="D1101" s="7" t="str">
        <f>$A1101&amp;"-"&amp;$C1101&amp;"-"&amp;TEXT(COUNTIFS($A$2:$A1101,$A1101,$C$2:$C1101,$C1101),"000")</f>
        <v>F3-ALERTAS-162</v>
      </c>
      <c r="E1101" s="7" t="s">
        <v>1169</v>
      </c>
      <c r="F1101" s="7" t="s">
        <v>1008</v>
      </c>
      <c r="G1101" s="7" t="s">
        <v>4</v>
      </c>
    </row>
    <row r="1102" spans="1:7">
      <c r="A1102" s="7" t="s">
        <v>1006</v>
      </c>
      <c r="B1102" s="7" t="s">
        <v>36</v>
      </c>
      <c r="C1102" s="7" t="str">
        <f>VLOOKUP(B1102,Indice!$B$1:$C$22,2,0)</f>
        <v>ALERTAS</v>
      </c>
      <c r="D1102" s="7" t="str">
        <f>$A1102&amp;"-"&amp;$C1102&amp;"-"&amp;TEXT(COUNTIFS($A$2:$A1102,$A1102,$C$2:$C1102,$C1102),"000")</f>
        <v>F3-ALERTAS-163</v>
      </c>
      <c r="E1102" s="7" t="s">
        <v>1170</v>
      </c>
      <c r="F1102" s="7" t="s">
        <v>1008</v>
      </c>
      <c r="G1102" s="7" t="s">
        <v>4</v>
      </c>
    </row>
    <row r="1103" spans="1:7">
      <c r="A1103" s="7" t="s">
        <v>1006</v>
      </c>
      <c r="B1103" s="7" t="s">
        <v>36</v>
      </c>
      <c r="C1103" s="7" t="str">
        <f>VLOOKUP(B1103,Indice!$B$1:$C$22,2,0)</f>
        <v>ALERTAS</v>
      </c>
      <c r="D1103" s="7" t="str">
        <f>$A1103&amp;"-"&amp;$C1103&amp;"-"&amp;TEXT(COUNTIFS($A$2:$A1103,$A1103,$C$2:$C1103,$C1103),"000")</f>
        <v>F3-ALERTAS-164</v>
      </c>
      <c r="E1103" s="7" t="s">
        <v>1171</v>
      </c>
      <c r="F1103" s="7" t="s">
        <v>1008</v>
      </c>
      <c r="G1103" s="7" t="s">
        <v>4</v>
      </c>
    </row>
    <row r="1104" spans="1:7">
      <c r="A1104" s="7" t="s">
        <v>1006</v>
      </c>
      <c r="B1104" s="7" t="s">
        <v>36</v>
      </c>
      <c r="C1104" s="7" t="str">
        <f>VLOOKUP(B1104,Indice!$B$1:$C$22,2,0)</f>
        <v>ALERTAS</v>
      </c>
      <c r="D1104" s="7" t="str">
        <f>$A1104&amp;"-"&amp;$C1104&amp;"-"&amp;TEXT(COUNTIFS($A$2:$A1104,$A1104,$C$2:$C1104,$C1104),"000")</f>
        <v>F3-ALERTAS-165</v>
      </c>
      <c r="E1104" s="7" t="s">
        <v>1172</v>
      </c>
      <c r="F1104" s="7" t="s">
        <v>1008</v>
      </c>
      <c r="G1104" s="7" t="s">
        <v>4</v>
      </c>
    </row>
    <row r="1105" spans="1:7">
      <c r="A1105" s="7" t="s">
        <v>1006</v>
      </c>
      <c r="B1105" s="7" t="s">
        <v>36</v>
      </c>
      <c r="C1105" s="7" t="str">
        <f>VLOOKUP(B1105,Indice!$B$1:$C$22,2,0)</f>
        <v>ALERTAS</v>
      </c>
      <c r="D1105" s="7" t="str">
        <f>$A1105&amp;"-"&amp;$C1105&amp;"-"&amp;TEXT(COUNTIFS($A$2:$A1105,$A1105,$C$2:$C1105,$C1105),"000")</f>
        <v>F3-ALERTAS-166</v>
      </c>
      <c r="E1105" s="7" t="s">
        <v>1173</v>
      </c>
      <c r="F1105" s="7" t="s">
        <v>1008</v>
      </c>
      <c r="G1105" s="7" t="s">
        <v>4</v>
      </c>
    </row>
    <row r="1106" spans="1:7">
      <c r="A1106" s="7" t="s">
        <v>1006</v>
      </c>
      <c r="B1106" s="7" t="s">
        <v>36</v>
      </c>
      <c r="C1106" s="7" t="str">
        <f>VLOOKUP(B1106,Indice!$B$1:$C$22,2,0)</f>
        <v>ALERTAS</v>
      </c>
      <c r="D1106" s="7" t="str">
        <f>$A1106&amp;"-"&amp;$C1106&amp;"-"&amp;TEXT(COUNTIFS($A$2:$A1106,$A1106,$C$2:$C1106,$C1106),"000")</f>
        <v>F3-ALERTAS-167</v>
      </c>
      <c r="E1106" s="7" t="s">
        <v>1174</v>
      </c>
      <c r="F1106" s="7" t="s">
        <v>1008</v>
      </c>
      <c r="G1106" s="7" t="s">
        <v>4</v>
      </c>
    </row>
    <row r="1107" spans="1:7">
      <c r="A1107" s="7" t="s">
        <v>1006</v>
      </c>
      <c r="B1107" s="7" t="s">
        <v>36</v>
      </c>
      <c r="C1107" s="7" t="str">
        <f>VLOOKUP(B1107,Indice!$B$1:$C$22,2,0)</f>
        <v>ALERTAS</v>
      </c>
      <c r="D1107" s="7" t="str">
        <f>$A1107&amp;"-"&amp;$C1107&amp;"-"&amp;TEXT(COUNTIFS($A$2:$A1107,$A1107,$C$2:$C1107,$C1107),"000")</f>
        <v>F3-ALERTAS-168</v>
      </c>
      <c r="E1107" s="7" t="s">
        <v>1175</v>
      </c>
      <c r="F1107" s="7" t="s">
        <v>1008</v>
      </c>
      <c r="G1107" s="7" t="s">
        <v>4</v>
      </c>
    </row>
    <row r="1108" spans="1:7">
      <c r="A1108" s="7" t="s">
        <v>1006</v>
      </c>
      <c r="B1108" s="7" t="s">
        <v>36</v>
      </c>
      <c r="C1108" s="7" t="str">
        <f>VLOOKUP(B1108,Indice!$B$1:$C$22,2,0)</f>
        <v>ALERTAS</v>
      </c>
      <c r="D1108" s="7" t="str">
        <f>$A1108&amp;"-"&amp;$C1108&amp;"-"&amp;TEXT(COUNTIFS($A$2:$A1108,$A1108,$C$2:$C1108,$C1108),"000")</f>
        <v>F3-ALERTAS-169</v>
      </c>
      <c r="E1108" s="7" t="s">
        <v>1176</v>
      </c>
      <c r="F1108" s="7" t="s">
        <v>1008</v>
      </c>
      <c r="G1108" s="7" t="s">
        <v>4</v>
      </c>
    </row>
    <row r="1109" spans="1:7">
      <c r="A1109" s="7" t="s">
        <v>1006</v>
      </c>
      <c r="B1109" s="7" t="s">
        <v>36</v>
      </c>
      <c r="C1109" s="7" t="str">
        <f>VLOOKUP(B1109,Indice!$B$1:$C$22,2,0)</f>
        <v>ALERTAS</v>
      </c>
      <c r="D1109" s="7" t="str">
        <f>$A1109&amp;"-"&amp;$C1109&amp;"-"&amp;TEXT(COUNTIFS($A$2:$A1109,$A1109,$C$2:$C1109,$C1109),"000")</f>
        <v>F3-ALERTAS-170</v>
      </c>
      <c r="E1109" s="7" t="s">
        <v>1177</v>
      </c>
      <c r="F1109" s="7" t="s">
        <v>1008</v>
      </c>
      <c r="G1109" s="7" t="s">
        <v>4</v>
      </c>
    </row>
    <row r="1110" spans="1:7">
      <c r="A1110" s="7" t="s">
        <v>1006</v>
      </c>
      <c r="B1110" s="7" t="s">
        <v>36</v>
      </c>
      <c r="C1110" s="7" t="str">
        <f>VLOOKUP(B1110,Indice!$B$1:$C$22,2,0)</f>
        <v>ALERTAS</v>
      </c>
      <c r="D1110" s="7" t="str">
        <f>$A1110&amp;"-"&amp;$C1110&amp;"-"&amp;TEXT(COUNTIFS($A$2:$A1110,$A1110,$C$2:$C1110,$C1110),"000")</f>
        <v>F3-ALERTAS-171</v>
      </c>
      <c r="E1110" s="7" t="s">
        <v>1178</v>
      </c>
      <c r="F1110" s="7" t="s">
        <v>1008</v>
      </c>
      <c r="G1110" s="7" t="s">
        <v>4</v>
      </c>
    </row>
    <row r="1111" spans="1:7">
      <c r="A1111" s="7" t="s">
        <v>1006</v>
      </c>
      <c r="B1111" s="7" t="s">
        <v>36</v>
      </c>
      <c r="C1111" s="7" t="str">
        <f>VLOOKUP(B1111,Indice!$B$1:$C$22,2,0)</f>
        <v>ALERTAS</v>
      </c>
      <c r="D1111" s="7" t="str">
        <f>$A1111&amp;"-"&amp;$C1111&amp;"-"&amp;TEXT(COUNTIFS($A$2:$A1111,$A1111,$C$2:$C1111,$C1111),"000")</f>
        <v>F3-ALERTAS-172</v>
      </c>
      <c r="E1111" s="7" t="s">
        <v>1179</v>
      </c>
      <c r="F1111" s="7" t="s">
        <v>1008</v>
      </c>
      <c r="G1111" s="7" t="s">
        <v>4</v>
      </c>
    </row>
    <row r="1112" spans="1:7">
      <c r="A1112" s="7" t="s">
        <v>1006</v>
      </c>
      <c r="B1112" s="7" t="s">
        <v>36</v>
      </c>
      <c r="C1112" s="7" t="str">
        <f>VLOOKUP(B1112,Indice!$B$1:$C$22,2,0)</f>
        <v>ALERTAS</v>
      </c>
      <c r="D1112" s="7" t="str">
        <f>$A1112&amp;"-"&amp;$C1112&amp;"-"&amp;TEXT(COUNTIFS($A$2:$A1112,$A1112,$C$2:$C1112,$C1112),"000")</f>
        <v>F3-ALERTAS-173</v>
      </c>
      <c r="E1112" s="7" t="s">
        <v>1180</v>
      </c>
      <c r="F1112" s="7" t="s">
        <v>1008</v>
      </c>
      <c r="G1112" s="7" t="s">
        <v>4</v>
      </c>
    </row>
    <row r="1113" spans="1:7">
      <c r="A1113" s="7" t="s">
        <v>1006</v>
      </c>
      <c r="B1113" s="7" t="s">
        <v>36</v>
      </c>
      <c r="C1113" s="7" t="str">
        <f>VLOOKUP(B1113,Indice!$B$1:$C$22,2,0)</f>
        <v>ALERTAS</v>
      </c>
      <c r="D1113" s="7" t="str">
        <f>$A1113&amp;"-"&amp;$C1113&amp;"-"&amp;TEXT(COUNTIFS($A$2:$A1113,$A1113,$C$2:$C1113,$C1113),"000")</f>
        <v>F3-ALERTAS-174</v>
      </c>
      <c r="E1113" s="7" t="s">
        <v>1181</v>
      </c>
      <c r="F1113" s="7" t="s">
        <v>1008</v>
      </c>
      <c r="G1113" s="7" t="s">
        <v>4</v>
      </c>
    </row>
    <row r="1114" spans="1:7">
      <c r="A1114" s="7" t="s">
        <v>1006</v>
      </c>
      <c r="B1114" s="7" t="s">
        <v>36</v>
      </c>
      <c r="C1114" s="7" t="str">
        <f>VLOOKUP(B1114,Indice!$B$1:$C$22,2,0)</f>
        <v>ALERTAS</v>
      </c>
      <c r="D1114" s="7" t="str">
        <f>$A1114&amp;"-"&amp;$C1114&amp;"-"&amp;TEXT(COUNTIFS($A$2:$A1114,$A1114,$C$2:$C1114,$C1114),"000")</f>
        <v>F3-ALERTAS-175</v>
      </c>
      <c r="E1114" s="7" t="s">
        <v>1182</v>
      </c>
      <c r="F1114" s="7" t="s">
        <v>1008</v>
      </c>
      <c r="G1114" s="7" t="s">
        <v>4</v>
      </c>
    </row>
    <row r="1115" spans="1:7">
      <c r="A1115" s="7" t="s">
        <v>1006</v>
      </c>
      <c r="B1115" s="7" t="s">
        <v>36</v>
      </c>
      <c r="C1115" s="7" t="str">
        <f>VLOOKUP(B1115,Indice!$B$1:$C$22,2,0)</f>
        <v>ALERTAS</v>
      </c>
      <c r="D1115" s="7" t="str">
        <f>$A1115&amp;"-"&amp;$C1115&amp;"-"&amp;TEXT(COUNTIFS($A$2:$A1115,$A1115,$C$2:$C1115,$C1115),"000")</f>
        <v>F3-ALERTAS-176</v>
      </c>
      <c r="E1115" s="7" t="s">
        <v>1183</v>
      </c>
      <c r="F1115" s="7" t="s">
        <v>1008</v>
      </c>
      <c r="G1115" s="7" t="s">
        <v>4</v>
      </c>
    </row>
    <row r="1116" spans="1:7">
      <c r="A1116" s="7" t="s">
        <v>1006</v>
      </c>
      <c r="B1116" s="7" t="s">
        <v>36</v>
      </c>
      <c r="C1116" s="7" t="str">
        <f>VLOOKUP(B1116,Indice!$B$1:$C$22,2,0)</f>
        <v>ALERTAS</v>
      </c>
      <c r="D1116" s="7" t="str">
        <f>$A1116&amp;"-"&amp;$C1116&amp;"-"&amp;TEXT(COUNTIFS($A$2:$A1116,$A1116,$C$2:$C1116,$C1116),"000")</f>
        <v>F3-ALERTAS-177</v>
      </c>
      <c r="E1116" s="7" t="s">
        <v>1184</v>
      </c>
      <c r="F1116" s="7" t="s">
        <v>1008</v>
      </c>
      <c r="G1116" s="7" t="s">
        <v>4</v>
      </c>
    </row>
    <row r="1117" spans="1:7">
      <c r="A1117" s="7" t="s">
        <v>1006</v>
      </c>
      <c r="B1117" s="7" t="s">
        <v>36</v>
      </c>
      <c r="C1117" s="7" t="str">
        <f>VLOOKUP(B1117,Indice!$B$1:$C$22,2,0)</f>
        <v>ALERTAS</v>
      </c>
      <c r="D1117" s="7" t="str">
        <f>$A1117&amp;"-"&amp;$C1117&amp;"-"&amp;TEXT(COUNTIFS($A$2:$A1117,$A1117,$C$2:$C1117,$C1117),"000")</f>
        <v>F3-ALERTAS-178</v>
      </c>
      <c r="E1117" s="7" t="s">
        <v>1185</v>
      </c>
      <c r="F1117" s="7" t="s">
        <v>1008</v>
      </c>
      <c r="G1117" s="7" t="s">
        <v>4</v>
      </c>
    </row>
    <row r="1118" spans="1:7">
      <c r="A1118" s="7" t="s">
        <v>1006</v>
      </c>
      <c r="B1118" s="7" t="s">
        <v>36</v>
      </c>
      <c r="C1118" s="7" t="str">
        <f>VLOOKUP(B1118,Indice!$B$1:$C$22,2,0)</f>
        <v>ALERTAS</v>
      </c>
      <c r="D1118" s="7" t="str">
        <f>$A1118&amp;"-"&amp;$C1118&amp;"-"&amp;TEXT(COUNTIFS($A$2:$A1118,$A1118,$C$2:$C1118,$C1118),"000")</f>
        <v>F3-ALERTAS-179</v>
      </c>
      <c r="E1118" s="7" t="s">
        <v>1186</v>
      </c>
      <c r="F1118" s="7" t="s">
        <v>1008</v>
      </c>
      <c r="G1118" s="7" t="s">
        <v>4</v>
      </c>
    </row>
    <row r="1119" spans="1:7">
      <c r="A1119" s="7" t="s">
        <v>1006</v>
      </c>
      <c r="B1119" s="7" t="s">
        <v>36</v>
      </c>
      <c r="C1119" s="7" t="str">
        <f>VLOOKUP(B1119,Indice!$B$1:$C$22,2,0)</f>
        <v>ALERTAS</v>
      </c>
      <c r="D1119" s="7" t="str">
        <f>$A1119&amp;"-"&amp;$C1119&amp;"-"&amp;TEXT(COUNTIFS($A$2:$A1119,$A1119,$C$2:$C1119,$C1119),"000")</f>
        <v>F3-ALERTAS-180</v>
      </c>
      <c r="E1119" s="7" t="s">
        <v>1187</v>
      </c>
      <c r="F1119" s="7" t="s">
        <v>1008</v>
      </c>
      <c r="G1119" s="7" t="s">
        <v>4</v>
      </c>
    </row>
    <row r="1120" spans="1:7">
      <c r="A1120" s="7" t="s">
        <v>1006</v>
      </c>
      <c r="B1120" s="7" t="s">
        <v>36</v>
      </c>
      <c r="C1120" s="7" t="str">
        <f>VLOOKUP(B1120,Indice!$B$1:$C$22,2,0)</f>
        <v>ALERTAS</v>
      </c>
      <c r="D1120" s="7" t="str">
        <f>$A1120&amp;"-"&amp;$C1120&amp;"-"&amp;TEXT(COUNTIFS($A$2:$A1120,$A1120,$C$2:$C1120,$C1120),"000")</f>
        <v>F3-ALERTAS-181</v>
      </c>
      <c r="E1120" s="7" t="s">
        <v>1188</v>
      </c>
      <c r="F1120" s="7" t="s">
        <v>1008</v>
      </c>
      <c r="G1120" s="7" t="s">
        <v>4</v>
      </c>
    </row>
    <row r="1121" spans="1:7">
      <c r="A1121" s="7" t="s">
        <v>1006</v>
      </c>
      <c r="B1121" s="7" t="s">
        <v>36</v>
      </c>
      <c r="C1121" s="7" t="str">
        <f>VLOOKUP(B1121,Indice!$B$1:$C$22,2,0)</f>
        <v>ALERTAS</v>
      </c>
      <c r="D1121" s="7" t="str">
        <f>$A1121&amp;"-"&amp;$C1121&amp;"-"&amp;TEXT(COUNTIFS($A$2:$A1121,$A1121,$C$2:$C1121,$C1121),"000")</f>
        <v>F3-ALERTAS-182</v>
      </c>
      <c r="E1121" s="7" t="s">
        <v>1189</v>
      </c>
      <c r="F1121" s="7" t="s">
        <v>1008</v>
      </c>
      <c r="G1121" s="7" t="s">
        <v>4</v>
      </c>
    </row>
    <row r="1122" spans="1:7">
      <c r="A1122" s="7" t="s">
        <v>1006</v>
      </c>
      <c r="B1122" s="7" t="s">
        <v>36</v>
      </c>
      <c r="C1122" s="7" t="str">
        <f>VLOOKUP(B1122,Indice!$B$1:$C$22,2,0)</f>
        <v>ALERTAS</v>
      </c>
      <c r="D1122" s="7" t="str">
        <f>$A1122&amp;"-"&amp;$C1122&amp;"-"&amp;TEXT(COUNTIFS($A$2:$A1122,$A1122,$C$2:$C1122,$C1122),"000")</f>
        <v>F3-ALERTAS-183</v>
      </c>
      <c r="E1122" s="7" t="s">
        <v>1190</v>
      </c>
      <c r="F1122" s="7" t="s">
        <v>1008</v>
      </c>
      <c r="G1122" s="7" t="s">
        <v>4</v>
      </c>
    </row>
    <row r="1123" spans="1:7">
      <c r="A1123" s="7" t="s">
        <v>1006</v>
      </c>
      <c r="B1123" s="7" t="s">
        <v>36</v>
      </c>
      <c r="C1123" s="7" t="str">
        <f>VLOOKUP(B1123,Indice!$B$1:$C$22,2,0)</f>
        <v>ALERTAS</v>
      </c>
      <c r="D1123" s="7" t="str">
        <f>$A1123&amp;"-"&amp;$C1123&amp;"-"&amp;TEXT(COUNTIFS($A$2:$A1123,$A1123,$C$2:$C1123,$C1123),"000")</f>
        <v>F3-ALERTAS-184</v>
      </c>
      <c r="E1123" s="7" t="s">
        <v>1191</v>
      </c>
      <c r="F1123" s="7" t="s">
        <v>1008</v>
      </c>
      <c r="G1123" s="7" t="s">
        <v>4</v>
      </c>
    </row>
    <row r="1124" spans="1:7">
      <c r="A1124" s="7" t="s">
        <v>1006</v>
      </c>
      <c r="B1124" s="7" t="s">
        <v>36</v>
      </c>
      <c r="C1124" s="7" t="str">
        <f>VLOOKUP(B1124,Indice!$B$1:$C$22,2,0)</f>
        <v>ALERTAS</v>
      </c>
      <c r="D1124" s="7" t="str">
        <f>$A1124&amp;"-"&amp;$C1124&amp;"-"&amp;TEXT(COUNTIFS($A$2:$A1124,$A1124,$C$2:$C1124,$C1124),"000")</f>
        <v>F3-ALERTAS-185</v>
      </c>
      <c r="E1124" s="7" t="s">
        <v>1192</v>
      </c>
      <c r="F1124" s="7" t="s">
        <v>1008</v>
      </c>
      <c r="G1124" s="7" t="s">
        <v>4</v>
      </c>
    </row>
    <row r="1125" spans="1:7">
      <c r="A1125" s="7" t="s">
        <v>1006</v>
      </c>
      <c r="B1125" s="7" t="s">
        <v>36</v>
      </c>
      <c r="C1125" s="7" t="str">
        <f>VLOOKUP(B1125,Indice!$B$1:$C$22,2,0)</f>
        <v>ALERTAS</v>
      </c>
      <c r="D1125" s="7" t="str">
        <f>$A1125&amp;"-"&amp;$C1125&amp;"-"&amp;TEXT(COUNTIFS($A$2:$A1125,$A1125,$C$2:$C1125,$C1125),"000")</f>
        <v>F3-ALERTAS-186</v>
      </c>
      <c r="E1125" s="7" t="s">
        <v>1193</v>
      </c>
      <c r="F1125" s="7" t="s">
        <v>1008</v>
      </c>
      <c r="G1125" s="7" t="s">
        <v>4</v>
      </c>
    </row>
    <row r="1126" spans="1:7">
      <c r="A1126" s="7" t="s">
        <v>1006</v>
      </c>
      <c r="B1126" s="7" t="s">
        <v>36</v>
      </c>
      <c r="C1126" s="7" t="str">
        <f>VLOOKUP(B1126,Indice!$B$1:$C$22,2,0)</f>
        <v>ALERTAS</v>
      </c>
      <c r="D1126" s="7" t="str">
        <f>$A1126&amp;"-"&amp;$C1126&amp;"-"&amp;TEXT(COUNTIFS($A$2:$A1126,$A1126,$C$2:$C1126,$C1126),"000")</f>
        <v>F3-ALERTAS-187</v>
      </c>
      <c r="E1126" s="7" t="s">
        <v>1194</v>
      </c>
      <c r="F1126" s="7" t="s">
        <v>1008</v>
      </c>
      <c r="G1126" s="7" t="s">
        <v>4</v>
      </c>
    </row>
    <row r="1127" spans="1:7">
      <c r="A1127" s="7" t="s">
        <v>1006</v>
      </c>
      <c r="B1127" s="7" t="s">
        <v>36</v>
      </c>
      <c r="C1127" s="7" t="str">
        <f>VLOOKUP(B1127,Indice!$B$1:$C$22,2,0)</f>
        <v>ALERTAS</v>
      </c>
      <c r="D1127" s="7" t="str">
        <f>$A1127&amp;"-"&amp;$C1127&amp;"-"&amp;TEXT(COUNTIFS($A$2:$A1127,$A1127,$C$2:$C1127,$C1127),"000")</f>
        <v>F3-ALERTAS-188</v>
      </c>
      <c r="E1127" s="7" t="s">
        <v>1195</v>
      </c>
      <c r="F1127" s="7" t="s">
        <v>1008</v>
      </c>
      <c r="G1127" s="7" t="s">
        <v>4</v>
      </c>
    </row>
    <row r="1128" spans="1:7">
      <c r="A1128" s="7" t="s">
        <v>1006</v>
      </c>
      <c r="B1128" s="7" t="s">
        <v>36</v>
      </c>
      <c r="C1128" s="7" t="str">
        <f>VLOOKUP(B1128,Indice!$B$1:$C$22,2,0)</f>
        <v>ALERTAS</v>
      </c>
      <c r="D1128" s="7" t="str">
        <f>$A1128&amp;"-"&amp;$C1128&amp;"-"&amp;TEXT(COUNTIFS($A$2:$A1128,$A1128,$C$2:$C1128,$C1128),"000")</f>
        <v>F3-ALERTAS-189</v>
      </c>
      <c r="E1128" s="7" t="s">
        <v>1196</v>
      </c>
      <c r="F1128" s="7" t="s">
        <v>1008</v>
      </c>
      <c r="G1128" s="7" t="s">
        <v>4</v>
      </c>
    </row>
    <row r="1129" spans="1:7">
      <c r="A1129" s="7" t="s">
        <v>1006</v>
      </c>
      <c r="B1129" s="7" t="s">
        <v>36</v>
      </c>
      <c r="C1129" s="7" t="str">
        <f>VLOOKUP(B1129,Indice!$B$1:$C$22,2,0)</f>
        <v>ALERTAS</v>
      </c>
      <c r="D1129" s="7" t="str">
        <f>$A1129&amp;"-"&amp;$C1129&amp;"-"&amp;TEXT(COUNTIFS($A$2:$A1129,$A1129,$C$2:$C1129,$C1129),"000")</f>
        <v>F3-ALERTAS-190</v>
      </c>
      <c r="E1129" s="7" t="s">
        <v>1197</v>
      </c>
      <c r="F1129" s="7" t="s">
        <v>1008</v>
      </c>
      <c r="G1129" s="7" t="s">
        <v>4</v>
      </c>
    </row>
    <row r="1130" spans="1:7">
      <c r="A1130" s="7" t="s">
        <v>1006</v>
      </c>
      <c r="B1130" s="7" t="s">
        <v>36</v>
      </c>
      <c r="C1130" s="7" t="str">
        <f>VLOOKUP(B1130,Indice!$B$1:$C$22,2,0)</f>
        <v>ALERTAS</v>
      </c>
      <c r="D1130" s="7" t="str">
        <f>$A1130&amp;"-"&amp;$C1130&amp;"-"&amp;TEXT(COUNTIFS($A$2:$A1130,$A1130,$C$2:$C1130,$C1130),"000")</f>
        <v>F3-ALERTAS-191</v>
      </c>
      <c r="E1130" s="7" t="s">
        <v>1198</v>
      </c>
      <c r="F1130" s="7" t="s">
        <v>1008</v>
      </c>
      <c r="G1130" s="7" t="s">
        <v>4</v>
      </c>
    </row>
    <row r="1131" spans="1:7">
      <c r="A1131" s="7" t="s">
        <v>1006</v>
      </c>
      <c r="B1131" s="7" t="s">
        <v>36</v>
      </c>
      <c r="C1131" s="7" t="str">
        <f>VLOOKUP(B1131,Indice!$B$1:$C$22,2,0)</f>
        <v>ALERTAS</v>
      </c>
      <c r="D1131" s="7" t="str">
        <f>$A1131&amp;"-"&amp;$C1131&amp;"-"&amp;TEXT(COUNTIFS($A$2:$A1131,$A1131,$C$2:$C1131,$C1131),"000")</f>
        <v>F3-ALERTAS-192</v>
      </c>
      <c r="E1131" s="7" t="s">
        <v>1199</v>
      </c>
      <c r="F1131" s="7" t="s">
        <v>1008</v>
      </c>
      <c r="G1131" s="7" t="s">
        <v>4</v>
      </c>
    </row>
    <row r="1132" spans="1:7">
      <c r="A1132" s="7" t="s">
        <v>1006</v>
      </c>
      <c r="B1132" s="7" t="s">
        <v>36</v>
      </c>
      <c r="C1132" s="7" t="str">
        <f>VLOOKUP(B1132,Indice!$B$1:$C$22,2,0)</f>
        <v>ALERTAS</v>
      </c>
      <c r="D1132" s="7" t="str">
        <f>$A1132&amp;"-"&amp;$C1132&amp;"-"&amp;TEXT(COUNTIFS($A$2:$A1132,$A1132,$C$2:$C1132,$C1132),"000")</f>
        <v>F3-ALERTAS-193</v>
      </c>
      <c r="E1132" s="7" t="s">
        <v>1200</v>
      </c>
      <c r="F1132" s="7" t="s">
        <v>1008</v>
      </c>
      <c r="G1132" s="7" t="s">
        <v>4</v>
      </c>
    </row>
    <row r="1133" spans="1:7">
      <c r="A1133" s="7" t="s">
        <v>1006</v>
      </c>
      <c r="B1133" s="7" t="s">
        <v>36</v>
      </c>
      <c r="C1133" s="7" t="str">
        <f>VLOOKUP(B1133,Indice!$B$1:$C$22,2,0)</f>
        <v>ALERTAS</v>
      </c>
      <c r="D1133" s="7" t="str">
        <f>$A1133&amp;"-"&amp;$C1133&amp;"-"&amp;TEXT(COUNTIFS($A$2:$A1133,$A1133,$C$2:$C1133,$C1133),"000")</f>
        <v>F3-ALERTAS-194</v>
      </c>
      <c r="E1133" s="7" t="s">
        <v>1201</v>
      </c>
      <c r="F1133" s="7" t="s">
        <v>1008</v>
      </c>
      <c r="G1133" s="7" t="s">
        <v>4</v>
      </c>
    </row>
    <row r="1134" spans="1:7">
      <c r="A1134" s="7" t="s">
        <v>1006</v>
      </c>
      <c r="B1134" s="7" t="s">
        <v>36</v>
      </c>
      <c r="C1134" s="7" t="str">
        <f>VLOOKUP(B1134,Indice!$B$1:$C$22,2,0)</f>
        <v>ALERTAS</v>
      </c>
      <c r="D1134" s="7" t="str">
        <f>$A1134&amp;"-"&amp;$C1134&amp;"-"&amp;TEXT(COUNTIFS($A$2:$A1134,$A1134,$C$2:$C1134,$C1134),"000")</f>
        <v>F3-ALERTAS-195</v>
      </c>
      <c r="E1134" s="7" t="s">
        <v>1202</v>
      </c>
      <c r="F1134" s="7" t="s">
        <v>1008</v>
      </c>
      <c r="G1134" s="7" t="s">
        <v>4</v>
      </c>
    </row>
    <row r="1135" spans="1:7">
      <c r="A1135" s="7" t="s">
        <v>1006</v>
      </c>
      <c r="B1135" s="7" t="s">
        <v>36</v>
      </c>
      <c r="C1135" s="7" t="str">
        <f>VLOOKUP(B1135,Indice!$B$1:$C$22,2,0)</f>
        <v>ALERTAS</v>
      </c>
      <c r="D1135" s="7" t="str">
        <f>$A1135&amp;"-"&amp;$C1135&amp;"-"&amp;TEXT(COUNTIFS($A$2:$A1135,$A1135,$C$2:$C1135,$C1135),"000")</f>
        <v>F3-ALERTAS-196</v>
      </c>
      <c r="E1135" s="7" t="s">
        <v>1203</v>
      </c>
      <c r="F1135" s="7" t="s">
        <v>1008</v>
      </c>
      <c r="G1135" s="7" t="s">
        <v>4</v>
      </c>
    </row>
    <row r="1136" spans="1:7">
      <c r="A1136" s="7" t="s">
        <v>1006</v>
      </c>
      <c r="B1136" s="7" t="s">
        <v>36</v>
      </c>
      <c r="C1136" s="7" t="str">
        <f>VLOOKUP(B1136,Indice!$B$1:$C$22,2,0)</f>
        <v>ALERTAS</v>
      </c>
      <c r="D1136" s="7" t="str">
        <f>$A1136&amp;"-"&amp;$C1136&amp;"-"&amp;TEXT(COUNTIFS($A$2:$A1136,$A1136,$C$2:$C1136,$C1136),"000")</f>
        <v>F3-ALERTAS-197</v>
      </c>
      <c r="E1136" s="7" t="s">
        <v>1204</v>
      </c>
      <c r="F1136" s="7" t="s">
        <v>1008</v>
      </c>
      <c r="G1136" s="7" t="s">
        <v>4</v>
      </c>
    </row>
    <row r="1137" spans="1:7">
      <c r="A1137" s="7" t="s">
        <v>1006</v>
      </c>
      <c r="B1137" s="7" t="s">
        <v>36</v>
      </c>
      <c r="C1137" s="7" t="str">
        <f>VLOOKUP(B1137,Indice!$B$1:$C$22,2,0)</f>
        <v>ALERTAS</v>
      </c>
      <c r="D1137" s="7" t="str">
        <f>$A1137&amp;"-"&amp;$C1137&amp;"-"&amp;TEXT(COUNTIFS($A$2:$A1137,$A1137,$C$2:$C1137,$C1137),"000")</f>
        <v>F3-ALERTAS-198</v>
      </c>
      <c r="E1137" s="7" t="s">
        <v>1205</v>
      </c>
      <c r="F1137" s="7" t="s">
        <v>1008</v>
      </c>
      <c r="G1137" s="7" t="s">
        <v>4</v>
      </c>
    </row>
    <row r="1138" spans="1:7">
      <c r="A1138" s="7" t="s">
        <v>1006</v>
      </c>
      <c r="B1138" s="7" t="s">
        <v>36</v>
      </c>
      <c r="C1138" s="7" t="str">
        <f>VLOOKUP(B1138,Indice!$B$1:$C$22,2,0)</f>
        <v>ALERTAS</v>
      </c>
      <c r="D1138" s="7" t="str">
        <f>$A1138&amp;"-"&amp;$C1138&amp;"-"&amp;TEXT(COUNTIFS($A$2:$A1138,$A1138,$C$2:$C1138,$C1138),"000")</f>
        <v>F3-ALERTAS-199</v>
      </c>
      <c r="E1138" s="7" t="s">
        <v>1206</v>
      </c>
      <c r="F1138" s="7" t="s">
        <v>1008</v>
      </c>
      <c r="G1138" s="7" t="s">
        <v>4</v>
      </c>
    </row>
    <row r="1139" spans="1:7">
      <c r="A1139" s="7" t="s">
        <v>1006</v>
      </c>
      <c r="B1139" s="7" t="s">
        <v>36</v>
      </c>
      <c r="C1139" s="7" t="str">
        <f>VLOOKUP(B1139,Indice!$B$1:$C$22,2,0)</f>
        <v>ALERTAS</v>
      </c>
      <c r="D1139" s="7" t="str">
        <f>$A1139&amp;"-"&amp;$C1139&amp;"-"&amp;TEXT(COUNTIFS($A$2:$A1139,$A1139,$C$2:$C1139,$C1139),"000")</f>
        <v>F3-ALERTAS-200</v>
      </c>
      <c r="E1139" s="7" t="s">
        <v>1207</v>
      </c>
      <c r="F1139" s="7" t="s">
        <v>1008</v>
      </c>
      <c r="G1139" s="7" t="s">
        <v>4</v>
      </c>
    </row>
    <row r="1140" spans="1:7">
      <c r="A1140" s="7" t="s">
        <v>1006</v>
      </c>
      <c r="B1140" s="7" t="s">
        <v>36</v>
      </c>
      <c r="C1140" s="7" t="str">
        <f>VLOOKUP(B1140,Indice!$B$1:$C$22,2,0)</f>
        <v>ALERTAS</v>
      </c>
      <c r="D1140" s="7" t="str">
        <f>$A1140&amp;"-"&amp;$C1140&amp;"-"&amp;TEXT(COUNTIFS($A$2:$A1140,$A1140,$C$2:$C1140,$C1140),"000")</f>
        <v>F3-ALERTAS-201</v>
      </c>
      <c r="E1140" s="7" t="s">
        <v>1208</v>
      </c>
      <c r="F1140" s="7" t="s">
        <v>1008</v>
      </c>
      <c r="G1140" s="7" t="s">
        <v>4</v>
      </c>
    </row>
    <row r="1141" spans="1:7">
      <c r="A1141" s="7" t="s">
        <v>1006</v>
      </c>
      <c r="B1141" s="7" t="s">
        <v>36</v>
      </c>
      <c r="C1141" s="7" t="str">
        <f>VLOOKUP(B1141,Indice!$B$1:$C$22,2,0)</f>
        <v>ALERTAS</v>
      </c>
      <c r="D1141" s="7" t="str">
        <f>$A1141&amp;"-"&amp;$C1141&amp;"-"&amp;TEXT(COUNTIFS($A$2:$A1141,$A1141,$C$2:$C1141,$C1141),"000")</f>
        <v>F3-ALERTAS-202</v>
      </c>
      <c r="E1141" s="7" t="s">
        <v>1209</v>
      </c>
      <c r="F1141" s="7" t="s">
        <v>1008</v>
      </c>
      <c r="G1141" s="7" t="s">
        <v>4</v>
      </c>
    </row>
    <row r="1142" spans="1:7">
      <c r="A1142" s="7" t="s">
        <v>1006</v>
      </c>
      <c r="B1142" s="7" t="s">
        <v>36</v>
      </c>
      <c r="C1142" s="7" t="str">
        <f>VLOOKUP(B1142,Indice!$B$1:$C$22,2,0)</f>
        <v>ALERTAS</v>
      </c>
      <c r="D1142" s="7" t="str">
        <f>$A1142&amp;"-"&amp;$C1142&amp;"-"&amp;TEXT(COUNTIFS($A$2:$A1142,$A1142,$C$2:$C1142,$C1142),"000")</f>
        <v>F3-ALERTAS-203</v>
      </c>
      <c r="E1142" s="7" t="s">
        <v>1210</v>
      </c>
      <c r="F1142" s="7" t="s">
        <v>1008</v>
      </c>
      <c r="G1142" s="7" t="s">
        <v>4</v>
      </c>
    </row>
    <row r="1143" spans="1:7">
      <c r="A1143" s="7" t="s">
        <v>1006</v>
      </c>
      <c r="B1143" s="7" t="s">
        <v>36</v>
      </c>
      <c r="C1143" s="7" t="str">
        <f>VLOOKUP(B1143,Indice!$B$1:$C$22,2,0)</f>
        <v>ALERTAS</v>
      </c>
      <c r="D1143" s="7" t="str">
        <f>$A1143&amp;"-"&amp;$C1143&amp;"-"&amp;TEXT(COUNTIFS($A$2:$A1143,$A1143,$C$2:$C1143,$C1143),"000")</f>
        <v>F3-ALERTAS-204</v>
      </c>
      <c r="E1143" s="7" t="s">
        <v>1211</v>
      </c>
      <c r="F1143" s="7" t="s">
        <v>1008</v>
      </c>
      <c r="G1143" s="7" t="s">
        <v>4</v>
      </c>
    </row>
    <row r="1144" spans="1:7">
      <c r="A1144" s="7" t="s">
        <v>1006</v>
      </c>
      <c r="B1144" s="7" t="s">
        <v>36</v>
      </c>
      <c r="C1144" s="7" t="str">
        <f>VLOOKUP(B1144,Indice!$B$1:$C$22,2,0)</f>
        <v>ALERTAS</v>
      </c>
      <c r="D1144" s="7" t="str">
        <f>$A1144&amp;"-"&amp;$C1144&amp;"-"&amp;TEXT(COUNTIFS($A$2:$A1144,$A1144,$C$2:$C1144,$C1144),"000")</f>
        <v>F3-ALERTAS-205</v>
      </c>
      <c r="E1144" s="7" t="s">
        <v>1212</v>
      </c>
      <c r="F1144" s="7" t="s">
        <v>1008</v>
      </c>
      <c r="G1144" s="7" t="s">
        <v>4</v>
      </c>
    </row>
    <row r="1145" spans="1:7">
      <c r="A1145" s="7" t="s">
        <v>1006</v>
      </c>
      <c r="B1145" s="7" t="s">
        <v>36</v>
      </c>
      <c r="C1145" s="7" t="str">
        <f>VLOOKUP(B1145,Indice!$B$1:$C$22,2,0)</f>
        <v>ALERTAS</v>
      </c>
      <c r="D1145" s="7" t="str">
        <f>$A1145&amp;"-"&amp;$C1145&amp;"-"&amp;TEXT(COUNTIFS($A$2:$A1145,$A1145,$C$2:$C1145,$C1145),"000")</f>
        <v>F3-ALERTAS-206</v>
      </c>
      <c r="E1145" s="7" t="s">
        <v>1213</v>
      </c>
      <c r="F1145" s="7" t="s">
        <v>1008</v>
      </c>
      <c r="G1145" s="7" t="s">
        <v>4</v>
      </c>
    </row>
    <row r="1146" spans="1:7">
      <c r="A1146" s="7" t="s">
        <v>1006</v>
      </c>
      <c r="B1146" s="7" t="s">
        <v>36</v>
      </c>
      <c r="C1146" s="7" t="str">
        <f>VLOOKUP(B1146,Indice!$B$1:$C$22,2,0)</f>
        <v>ALERTAS</v>
      </c>
      <c r="D1146" s="7" t="str">
        <f>$A1146&amp;"-"&amp;$C1146&amp;"-"&amp;TEXT(COUNTIFS($A$2:$A1146,$A1146,$C$2:$C1146,$C1146),"000")</f>
        <v>F3-ALERTAS-207</v>
      </c>
      <c r="E1146" s="7" t="s">
        <v>1214</v>
      </c>
      <c r="F1146" s="7" t="s">
        <v>1008</v>
      </c>
      <c r="G1146" s="7" t="s">
        <v>4</v>
      </c>
    </row>
    <row r="1147" spans="1:7">
      <c r="A1147" s="7" t="s">
        <v>1006</v>
      </c>
      <c r="B1147" s="7" t="s">
        <v>36</v>
      </c>
      <c r="C1147" s="7" t="str">
        <f>VLOOKUP(B1147,Indice!$B$1:$C$22,2,0)</f>
        <v>ALERTAS</v>
      </c>
      <c r="D1147" s="7" t="str">
        <f>$A1147&amp;"-"&amp;$C1147&amp;"-"&amp;TEXT(COUNTIFS($A$2:$A1147,$A1147,$C$2:$C1147,$C1147),"000")</f>
        <v>F3-ALERTAS-208</v>
      </c>
      <c r="E1147" s="7" t="s">
        <v>1215</v>
      </c>
      <c r="F1147" s="7" t="s">
        <v>1008</v>
      </c>
      <c r="G1147" s="7" t="s">
        <v>4</v>
      </c>
    </row>
    <row r="1148" spans="1:7">
      <c r="A1148" s="7" t="s">
        <v>1006</v>
      </c>
      <c r="B1148" s="7" t="s">
        <v>36</v>
      </c>
      <c r="C1148" s="7" t="str">
        <f>VLOOKUP(B1148,Indice!$B$1:$C$22,2,0)</f>
        <v>ALERTAS</v>
      </c>
      <c r="D1148" s="7" t="str">
        <f>$A1148&amp;"-"&amp;$C1148&amp;"-"&amp;TEXT(COUNTIFS($A$2:$A1148,$A1148,$C$2:$C1148,$C1148),"000")</f>
        <v>F3-ALERTAS-209</v>
      </c>
      <c r="E1148" s="7" t="s">
        <v>1216</v>
      </c>
      <c r="F1148" s="7" t="s">
        <v>1008</v>
      </c>
      <c r="G1148" s="7" t="s">
        <v>4</v>
      </c>
    </row>
    <row r="1149" spans="1:7">
      <c r="A1149" s="7" t="s">
        <v>1006</v>
      </c>
      <c r="B1149" s="7" t="s">
        <v>36</v>
      </c>
      <c r="C1149" s="7" t="str">
        <f>VLOOKUP(B1149,Indice!$B$1:$C$22,2,0)</f>
        <v>ALERTAS</v>
      </c>
      <c r="D1149" s="7" t="str">
        <f>$A1149&amp;"-"&amp;$C1149&amp;"-"&amp;TEXT(COUNTIFS($A$2:$A1149,$A1149,$C$2:$C1149,$C1149),"000")</f>
        <v>F3-ALERTAS-210</v>
      </c>
      <c r="E1149" s="7" t="s">
        <v>1217</v>
      </c>
      <c r="F1149" s="7" t="s">
        <v>1008</v>
      </c>
      <c r="G1149" s="7" t="s">
        <v>4</v>
      </c>
    </row>
    <row r="1150" spans="1:7">
      <c r="A1150" s="7" t="s">
        <v>1006</v>
      </c>
      <c r="B1150" s="7" t="s">
        <v>36</v>
      </c>
      <c r="C1150" s="7" t="str">
        <f>VLOOKUP(B1150,Indice!$B$1:$C$22,2,0)</f>
        <v>ALERTAS</v>
      </c>
      <c r="D1150" s="7" t="str">
        <f>$A1150&amp;"-"&amp;$C1150&amp;"-"&amp;TEXT(COUNTIFS($A$2:$A1150,$A1150,$C$2:$C1150,$C1150),"000")</f>
        <v>F3-ALERTAS-211</v>
      </c>
      <c r="E1150" s="7" t="s">
        <v>1218</v>
      </c>
      <c r="F1150" s="7" t="s">
        <v>1008</v>
      </c>
      <c r="G1150" s="7" t="s">
        <v>4</v>
      </c>
    </row>
    <row r="1151" spans="1:7">
      <c r="A1151" s="7" t="s">
        <v>1006</v>
      </c>
      <c r="B1151" s="7" t="s">
        <v>36</v>
      </c>
      <c r="C1151" s="7" t="str">
        <f>VLOOKUP(B1151,Indice!$B$1:$C$22,2,0)</f>
        <v>ALERTAS</v>
      </c>
      <c r="D1151" s="7" t="str">
        <f>$A1151&amp;"-"&amp;$C1151&amp;"-"&amp;TEXT(COUNTIFS($A$2:$A1151,$A1151,$C$2:$C1151,$C1151),"000")</f>
        <v>F3-ALERTAS-212</v>
      </c>
      <c r="E1151" s="7" t="s">
        <v>1219</v>
      </c>
      <c r="F1151" s="7" t="s">
        <v>1008</v>
      </c>
      <c r="G1151" s="7" t="s">
        <v>4</v>
      </c>
    </row>
    <row r="1152" spans="1:7">
      <c r="A1152" s="7" t="s">
        <v>1006</v>
      </c>
      <c r="B1152" s="7" t="s">
        <v>36</v>
      </c>
      <c r="C1152" s="7" t="str">
        <f>VLOOKUP(B1152,Indice!$B$1:$C$22,2,0)</f>
        <v>ALERTAS</v>
      </c>
      <c r="D1152" s="7" t="str">
        <f>$A1152&amp;"-"&amp;$C1152&amp;"-"&amp;TEXT(COUNTIFS($A$2:$A1152,$A1152,$C$2:$C1152,$C1152),"000")</f>
        <v>F3-ALERTAS-213</v>
      </c>
      <c r="E1152" s="7" t="s">
        <v>1220</v>
      </c>
      <c r="F1152" s="7" t="s">
        <v>1008</v>
      </c>
      <c r="G1152" s="7" t="s">
        <v>4</v>
      </c>
    </row>
    <row r="1153" spans="1:7">
      <c r="A1153" s="7" t="s">
        <v>1006</v>
      </c>
      <c r="B1153" s="7" t="s">
        <v>36</v>
      </c>
      <c r="C1153" s="7" t="str">
        <f>VLOOKUP(B1153,Indice!$B$1:$C$22,2,0)</f>
        <v>ALERTAS</v>
      </c>
      <c r="D1153" s="7" t="str">
        <f>$A1153&amp;"-"&amp;$C1153&amp;"-"&amp;TEXT(COUNTIFS($A$2:$A1153,$A1153,$C$2:$C1153,$C1153),"000")</f>
        <v>F3-ALERTAS-214</v>
      </c>
      <c r="E1153" s="7" t="s">
        <v>1221</v>
      </c>
      <c r="F1153" s="7" t="s">
        <v>1008</v>
      </c>
      <c r="G1153" s="7" t="s">
        <v>4</v>
      </c>
    </row>
    <row r="1154" spans="1:7">
      <c r="A1154" s="7" t="s">
        <v>1006</v>
      </c>
      <c r="B1154" s="7" t="s">
        <v>36</v>
      </c>
      <c r="C1154" s="7" t="str">
        <f>VLOOKUP(B1154,Indice!$B$1:$C$22,2,0)</f>
        <v>ALERTAS</v>
      </c>
      <c r="D1154" s="7" t="str">
        <f>$A1154&amp;"-"&amp;$C1154&amp;"-"&amp;TEXT(COUNTIFS($A$2:$A1154,$A1154,$C$2:$C1154,$C1154),"000")</f>
        <v>F3-ALERTAS-215</v>
      </c>
      <c r="E1154" s="7" t="s">
        <v>1222</v>
      </c>
      <c r="F1154" s="7" t="s">
        <v>1008</v>
      </c>
      <c r="G1154" s="7" t="s">
        <v>4</v>
      </c>
    </row>
    <row r="1155" spans="1:7">
      <c r="A1155" s="7" t="s">
        <v>1006</v>
      </c>
      <c r="B1155" s="7" t="s">
        <v>36</v>
      </c>
      <c r="C1155" s="7" t="str">
        <f>VLOOKUP(B1155,Indice!$B$1:$C$22,2,0)</f>
        <v>ALERTAS</v>
      </c>
      <c r="D1155" s="7" t="str">
        <f>$A1155&amp;"-"&amp;$C1155&amp;"-"&amp;TEXT(COUNTIFS($A$2:$A1155,$A1155,$C$2:$C1155,$C1155),"000")</f>
        <v>F3-ALERTAS-216</v>
      </c>
      <c r="E1155" s="7" t="s">
        <v>1223</v>
      </c>
      <c r="F1155" s="7" t="s">
        <v>1008</v>
      </c>
      <c r="G1155" s="7" t="s">
        <v>4</v>
      </c>
    </row>
    <row r="1156" spans="1:7">
      <c r="A1156" s="7" t="s">
        <v>1006</v>
      </c>
      <c r="B1156" s="7" t="s">
        <v>36</v>
      </c>
      <c r="C1156" s="7" t="str">
        <f>VLOOKUP(B1156,Indice!$B$1:$C$22,2,0)</f>
        <v>ALERTAS</v>
      </c>
      <c r="D1156" s="7" t="str">
        <f>$A1156&amp;"-"&amp;$C1156&amp;"-"&amp;TEXT(COUNTIFS($A$2:$A1156,$A1156,$C$2:$C1156,$C1156),"000")</f>
        <v>F3-ALERTAS-217</v>
      </c>
      <c r="E1156" s="7" t="s">
        <v>1224</v>
      </c>
      <c r="F1156" s="7" t="s">
        <v>1008</v>
      </c>
      <c r="G1156" s="7" t="s">
        <v>4</v>
      </c>
    </row>
    <row r="1157" spans="1:7">
      <c r="A1157" s="7" t="s">
        <v>1006</v>
      </c>
      <c r="B1157" s="7" t="s">
        <v>36</v>
      </c>
      <c r="C1157" s="7" t="str">
        <f>VLOOKUP(B1157,Indice!$B$1:$C$22,2,0)</f>
        <v>ALERTAS</v>
      </c>
      <c r="D1157" s="7" t="str">
        <f>$A1157&amp;"-"&amp;$C1157&amp;"-"&amp;TEXT(COUNTIFS($A$2:$A1157,$A1157,$C$2:$C1157,$C1157),"000")</f>
        <v>F3-ALERTAS-218</v>
      </c>
      <c r="E1157" s="7" t="s">
        <v>1225</v>
      </c>
      <c r="F1157" s="7" t="s">
        <v>1008</v>
      </c>
      <c r="G1157" s="7" t="s">
        <v>4</v>
      </c>
    </row>
    <row r="1158" spans="1:7">
      <c r="A1158" s="7" t="s">
        <v>1006</v>
      </c>
      <c r="B1158" s="7" t="s">
        <v>36</v>
      </c>
      <c r="C1158" s="7" t="str">
        <f>VLOOKUP(B1158,Indice!$B$1:$C$22,2,0)</f>
        <v>ALERTAS</v>
      </c>
      <c r="D1158" s="7" t="str">
        <f>$A1158&amp;"-"&amp;$C1158&amp;"-"&amp;TEXT(COUNTIFS($A$2:$A1158,$A1158,$C$2:$C1158,$C1158),"000")</f>
        <v>F3-ALERTAS-219</v>
      </c>
      <c r="E1158" s="7" t="s">
        <v>1226</v>
      </c>
      <c r="F1158" s="7" t="s">
        <v>1008</v>
      </c>
      <c r="G1158" s="7" t="s">
        <v>4</v>
      </c>
    </row>
    <row r="1159" spans="1:7">
      <c r="A1159" s="7" t="s">
        <v>1006</v>
      </c>
      <c r="B1159" s="7" t="s">
        <v>36</v>
      </c>
      <c r="C1159" s="7" t="str">
        <f>VLOOKUP(B1159,Indice!$B$1:$C$22,2,0)</f>
        <v>ALERTAS</v>
      </c>
      <c r="D1159" s="7" t="str">
        <f>$A1159&amp;"-"&amp;$C1159&amp;"-"&amp;TEXT(COUNTIFS($A$2:$A1159,$A1159,$C$2:$C1159,$C1159),"000")</f>
        <v>F3-ALERTAS-220</v>
      </c>
      <c r="E1159" s="7" t="s">
        <v>1227</v>
      </c>
      <c r="F1159" s="7" t="s">
        <v>1008</v>
      </c>
      <c r="G1159" s="7" t="s">
        <v>4</v>
      </c>
    </row>
    <row r="1160" spans="1:7">
      <c r="A1160" s="7" t="s">
        <v>1006</v>
      </c>
      <c r="B1160" s="7" t="s">
        <v>36</v>
      </c>
      <c r="C1160" s="7" t="str">
        <f>VLOOKUP(B1160,Indice!$B$1:$C$22,2,0)</f>
        <v>ALERTAS</v>
      </c>
      <c r="D1160" s="7" t="str">
        <f>$A1160&amp;"-"&amp;$C1160&amp;"-"&amp;TEXT(COUNTIFS($A$2:$A1160,$A1160,$C$2:$C1160,$C1160),"000")</f>
        <v>F3-ALERTAS-221</v>
      </c>
      <c r="E1160" s="7" t="s">
        <v>1228</v>
      </c>
      <c r="F1160" s="7" t="s">
        <v>1008</v>
      </c>
      <c r="G1160" s="7" t="s">
        <v>4</v>
      </c>
    </row>
    <row r="1161" spans="1:7">
      <c r="A1161" s="7" t="s">
        <v>1006</v>
      </c>
      <c r="B1161" s="7" t="s">
        <v>36</v>
      </c>
      <c r="C1161" s="7" t="str">
        <f>VLOOKUP(B1161,Indice!$B$1:$C$22,2,0)</f>
        <v>ALERTAS</v>
      </c>
      <c r="D1161" s="7" t="str">
        <f>$A1161&amp;"-"&amp;$C1161&amp;"-"&amp;TEXT(COUNTIFS($A$2:$A1161,$A1161,$C$2:$C1161,$C1161),"000")</f>
        <v>F3-ALERTAS-222</v>
      </c>
      <c r="E1161" s="7" t="s">
        <v>1229</v>
      </c>
      <c r="F1161" s="7" t="s">
        <v>1008</v>
      </c>
      <c r="G1161" s="7" t="s">
        <v>4</v>
      </c>
    </row>
    <row r="1162" spans="1:7">
      <c r="A1162" s="7" t="s">
        <v>1006</v>
      </c>
      <c r="B1162" s="7" t="s">
        <v>36</v>
      </c>
      <c r="C1162" s="7" t="str">
        <f>VLOOKUP(B1162,Indice!$B$1:$C$22,2,0)</f>
        <v>ALERTAS</v>
      </c>
      <c r="D1162" s="7" t="str">
        <f>$A1162&amp;"-"&amp;$C1162&amp;"-"&amp;TEXT(COUNTIFS($A$2:$A1162,$A1162,$C$2:$C1162,$C1162),"000")</f>
        <v>F3-ALERTAS-223</v>
      </c>
      <c r="E1162" s="7" t="s">
        <v>1230</v>
      </c>
      <c r="F1162" s="7" t="s">
        <v>1008</v>
      </c>
      <c r="G1162" s="7" t="s">
        <v>4</v>
      </c>
    </row>
    <row r="1163" spans="1:7">
      <c r="A1163" s="7" t="s">
        <v>1006</v>
      </c>
      <c r="B1163" s="7" t="s">
        <v>36</v>
      </c>
      <c r="C1163" s="7" t="str">
        <f>VLOOKUP(B1163,Indice!$B$1:$C$22,2,0)</f>
        <v>ALERTAS</v>
      </c>
      <c r="D1163" s="7" t="str">
        <f>$A1163&amp;"-"&amp;$C1163&amp;"-"&amp;TEXT(COUNTIFS($A$2:$A1163,$A1163,$C$2:$C1163,$C1163),"000")</f>
        <v>F3-ALERTAS-224</v>
      </c>
      <c r="E1163" s="7" t="s">
        <v>1231</v>
      </c>
      <c r="F1163" s="7" t="s">
        <v>1008</v>
      </c>
      <c r="G1163" s="7" t="s">
        <v>4</v>
      </c>
    </row>
    <row r="1164" spans="1:7">
      <c r="A1164" s="7" t="s">
        <v>1006</v>
      </c>
      <c r="B1164" s="7" t="s">
        <v>36</v>
      </c>
      <c r="C1164" s="7" t="str">
        <f>VLOOKUP(B1164,Indice!$B$1:$C$22,2,0)</f>
        <v>ALERTAS</v>
      </c>
      <c r="D1164" s="7" t="str">
        <f>$A1164&amp;"-"&amp;$C1164&amp;"-"&amp;TEXT(COUNTIFS($A$2:$A1164,$A1164,$C$2:$C1164,$C1164),"000")</f>
        <v>F3-ALERTAS-225</v>
      </c>
      <c r="E1164" s="7" t="s">
        <v>1232</v>
      </c>
      <c r="F1164" s="7" t="s">
        <v>1008</v>
      </c>
      <c r="G1164" s="7" t="s">
        <v>4</v>
      </c>
    </row>
    <row r="1165" spans="1:7">
      <c r="A1165" s="7" t="s">
        <v>1006</v>
      </c>
      <c r="B1165" s="7" t="s">
        <v>36</v>
      </c>
      <c r="C1165" s="7" t="str">
        <f>VLOOKUP(B1165,Indice!$B$1:$C$22,2,0)</f>
        <v>ALERTAS</v>
      </c>
      <c r="D1165" s="7" t="str">
        <f>$A1165&amp;"-"&amp;$C1165&amp;"-"&amp;TEXT(COUNTIFS($A$2:$A1165,$A1165,$C$2:$C1165,$C1165),"000")</f>
        <v>F3-ALERTAS-226</v>
      </c>
      <c r="E1165" s="7" t="s">
        <v>1233</v>
      </c>
      <c r="F1165" s="7" t="s">
        <v>1008</v>
      </c>
      <c r="G1165" s="7" t="s">
        <v>4</v>
      </c>
    </row>
    <row r="1166" spans="1:7">
      <c r="A1166" s="7" t="s">
        <v>1006</v>
      </c>
      <c r="B1166" s="7" t="s">
        <v>36</v>
      </c>
      <c r="C1166" s="7" t="str">
        <f>VLOOKUP(B1166,Indice!$B$1:$C$22,2,0)</f>
        <v>ALERTAS</v>
      </c>
      <c r="D1166" s="7" t="str">
        <f>$A1166&amp;"-"&amp;$C1166&amp;"-"&amp;TEXT(COUNTIFS($A$2:$A1166,$A1166,$C$2:$C1166,$C1166),"000")</f>
        <v>F3-ALERTAS-227</v>
      </c>
      <c r="E1166" s="7" t="s">
        <v>1234</v>
      </c>
      <c r="F1166" s="7" t="s">
        <v>1008</v>
      </c>
      <c r="G1166" s="7" t="s">
        <v>4</v>
      </c>
    </row>
    <row r="1167" spans="1:7">
      <c r="A1167" s="7" t="s">
        <v>1006</v>
      </c>
      <c r="B1167" s="7" t="s">
        <v>36</v>
      </c>
      <c r="C1167" s="7" t="str">
        <f>VLOOKUP(B1167,Indice!$B$1:$C$22,2,0)</f>
        <v>ALERTAS</v>
      </c>
      <c r="D1167" s="7" t="str">
        <f>$A1167&amp;"-"&amp;$C1167&amp;"-"&amp;TEXT(COUNTIFS($A$2:$A1167,$A1167,$C$2:$C1167,$C1167),"000")</f>
        <v>F3-ALERTAS-228</v>
      </c>
      <c r="E1167" s="7" t="s">
        <v>1235</v>
      </c>
      <c r="F1167" s="7" t="s">
        <v>1008</v>
      </c>
      <c r="G1167" s="7" t="s">
        <v>4</v>
      </c>
    </row>
    <row r="1168" spans="1:7">
      <c r="A1168" s="7" t="s">
        <v>1006</v>
      </c>
      <c r="B1168" s="7" t="s">
        <v>36</v>
      </c>
      <c r="C1168" s="7" t="str">
        <f>VLOOKUP(B1168,Indice!$B$1:$C$22,2,0)</f>
        <v>ALERTAS</v>
      </c>
      <c r="D1168" s="7" t="str">
        <f>$A1168&amp;"-"&amp;$C1168&amp;"-"&amp;TEXT(COUNTIFS($A$2:$A1168,$A1168,$C$2:$C1168,$C1168),"000")</f>
        <v>F3-ALERTAS-229</v>
      </c>
      <c r="E1168" s="7" t="s">
        <v>1236</v>
      </c>
      <c r="F1168" s="7" t="s">
        <v>1008</v>
      </c>
      <c r="G1168" s="7" t="s">
        <v>4</v>
      </c>
    </row>
    <row r="1169" spans="1:7">
      <c r="A1169" s="7" t="s">
        <v>1006</v>
      </c>
      <c r="B1169" s="7" t="s">
        <v>36</v>
      </c>
      <c r="C1169" s="7" t="str">
        <f>VLOOKUP(B1169,Indice!$B$1:$C$22,2,0)</f>
        <v>ALERTAS</v>
      </c>
      <c r="D1169" s="7" t="str">
        <f>$A1169&amp;"-"&amp;$C1169&amp;"-"&amp;TEXT(COUNTIFS($A$2:$A1169,$A1169,$C$2:$C1169,$C1169),"000")</f>
        <v>F3-ALERTAS-230</v>
      </c>
      <c r="E1169" s="7" t="s">
        <v>1237</v>
      </c>
      <c r="F1169" s="7" t="s">
        <v>1008</v>
      </c>
      <c r="G1169" s="7" t="s">
        <v>4</v>
      </c>
    </row>
    <row r="1170" spans="1:7">
      <c r="A1170" s="7" t="s">
        <v>1006</v>
      </c>
      <c r="B1170" s="7" t="s">
        <v>36</v>
      </c>
      <c r="C1170" s="7" t="str">
        <f>VLOOKUP(B1170,Indice!$B$1:$C$22,2,0)</f>
        <v>ALERTAS</v>
      </c>
      <c r="D1170" s="7" t="str">
        <f>$A1170&amp;"-"&amp;$C1170&amp;"-"&amp;TEXT(COUNTIFS($A$2:$A1170,$A1170,$C$2:$C1170,$C1170),"000")</f>
        <v>F3-ALERTAS-231</v>
      </c>
      <c r="E1170" s="7" t="s">
        <v>1238</v>
      </c>
      <c r="F1170" s="7" t="s">
        <v>1008</v>
      </c>
      <c r="G1170" s="7" t="s">
        <v>4</v>
      </c>
    </row>
    <row r="1171" spans="1:7">
      <c r="A1171" s="7" t="s">
        <v>1006</v>
      </c>
      <c r="B1171" s="7" t="s">
        <v>36</v>
      </c>
      <c r="C1171" s="7" t="str">
        <f>VLOOKUP(B1171,Indice!$B$1:$C$22,2,0)</f>
        <v>ALERTAS</v>
      </c>
      <c r="D1171" s="7" t="str">
        <f>$A1171&amp;"-"&amp;$C1171&amp;"-"&amp;TEXT(COUNTIFS($A$2:$A1171,$A1171,$C$2:$C1171,$C1171),"000")</f>
        <v>F3-ALERTAS-232</v>
      </c>
      <c r="E1171" s="7" t="s">
        <v>1239</v>
      </c>
      <c r="F1171" s="7" t="s">
        <v>1008</v>
      </c>
      <c r="G1171" s="7" t="s">
        <v>4</v>
      </c>
    </row>
    <row r="1172" spans="1:7">
      <c r="A1172" s="7" t="s">
        <v>1006</v>
      </c>
      <c r="B1172" s="7" t="s">
        <v>36</v>
      </c>
      <c r="C1172" s="7" t="str">
        <f>VLOOKUP(B1172,Indice!$B$1:$C$22,2,0)</f>
        <v>ALERTAS</v>
      </c>
      <c r="D1172" s="7" t="str">
        <f>$A1172&amp;"-"&amp;$C1172&amp;"-"&amp;TEXT(COUNTIFS($A$2:$A1172,$A1172,$C$2:$C1172,$C1172),"000")</f>
        <v>F3-ALERTAS-233</v>
      </c>
      <c r="E1172" s="7" t="s">
        <v>1240</v>
      </c>
      <c r="F1172" s="7" t="s">
        <v>1008</v>
      </c>
      <c r="G1172" s="7" t="s">
        <v>4</v>
      </c>
    </row>
    <row r="1173" spans="1:7">
      <c r="A1173" s="7" t="s">
        <v>1006</v>
      </c>
      <c r="B1173" s="7" t="s">
        <v>36</v>
      </c>
      <c r="C1173" s="7" t="str">
        <f>VLOOKUP(B1173,Indice!$B$1:$C$22,2,0)</f>
        <v>ALERTAS</v>
      </c>
      <c r="D1173" s="7" t="str">
        <f>$A1173&amp;"-"&amp;$C1173&amp;"-"&amp;TEXT(COUNTIFS($A$2:$A1173,$A1173,$C$2:$C1173,$C1173),"000")</f>
        <v>F3-ALERTAS-234</v>
      </c>
      <c r="E1173" s="7" t="s">
        <v>1241</v>
      </c>
      <c r="F1173" s="7" t="s">
        <v>1008</v>
      </c>
      <c r="G1173" s="7" t="s">
        <v>4</v>
      </c>
    </row>
    <row r="1174" spans="1:7">
      <c r="A1174" s="7" t="s">
        <v>1006</v>
      </c>
      <c r="B1174" s="7" t="s">
        <v>36</v>
      </c>
      <c r="C1174" s="7" t="str">
        <f>VLOOKUP(B1174,Indice!$B$1:$C$22,2,0)</f>
        <v>ALERTAS</v>
      </c>
      <c r="D1174" s="7" t="str">
        <f>$A1174&amp;"-"&amp;$C1174&amp;"-"&amp;TEXT(COUNTIFS($A$2:$A1174,$A1174,$C$2:$C1174,$C1174),"000")</f>
        <v>F3-ALERTAS-235</v>
      </c>
      <c r="E1174" s="7" t="s">
        <v>1242</v>
      </c>
      <c r="F1174" s="7" t="s">
        <v>1008</v>
      </c>
      <c r="G1174" s="7" t="s">
        <v>4</v>
      </c>
    </row>
    <row r="1175" spans="1:7">
      <c r="A1175" s="7" t="s">
        <v>1006</v>
      </c>
      <c r="B1175" s="7" t="s">
        <v>36</v>
      </c>
      <c r="C1175" s="7" t="str">
        <f>VLOOKUP(B1175,Indice!$B$1:$C$22,2,0)</f>
        <v>ALERTAS</v>
      </c>
      <c r="D1175" s="7" t="str">
        <f>$A1175&amp;"-"&amp;$C1175&amp;"-"&amp;TEXT(COUNTIFS($A$2:$A1175,$A1175,$C$2:$C1175,$C1175),"000")</f>
        <v>F3-ALERTAS-236</v>
      </c>
      <c r="E1175" s="7" t="s">
        <v>1243</v>
      </c>
      <c r="F1175" s="7" t="s">
        <v>1008</v>
      </c>
      <c r="G1175" s="7" t="s">
        <v>4</v>
      </c>
    </row>
    <row r="1176" spans="1:7">
      <c r="A1176" s="7" t="s">
        <v>1006</v>
      </c>
      <c r="B1176" s="7" t="s">
        <v>36</v>
      </c>
      <c r="C1176" s="7" t="str">
        <f>VLOOKUP(B1176,Indice!$B$1:$C$22,2,0)</f>
        <v>ALERTAS</v>
      </c>
      <c r="D1176" s="7" t="str">
        <f>$A1176&amp;"-"&amp;$C1176&amp;"-"&amp;TEXT(COUNTIFS($A$2:$A1176,$A1176,$C$2:$C1176,$C1176),"000")</f>
        <v>F3-ALERTAS-237</v>
      </c>
      <c r="E1176" s="7" t="s">
        <v>1244</v>
      </c>
      <c r="F1176" s="7" t="s">
        <v>1008</v>
      </c>
      <c r="G1176" s="7" t="s">
        <v>4</v>
      </c>
    </row>
    <row r="1177" spans="1:7">
      <c r="A1177" s="7" t="s">
        <v>1006</v>
      </c>
      <c r="B1177" s="7" t="s">
        <v>36</v>
      </c>
      <c r="C1177" s="7" t="str">
        <f>VLOOKUP(B1177,Indice!$B$1:$C$22,2,0)</f>
        <v>ALERTAS</v>
      </c>
      <c r="D1177" s="7" t="str">
        <f>$A1177&amp;"-"&amp;$C1177&amp;"-"&amp;TEXT(COUNTIFS($A$2:$A1177,$A1177,$C$2:$C1177,$C1177),"000")</f>
        <v>F3-ALERTAS-238</v>
      </c>
      <c r="E1177" s="7" t="s">
        <v>1245</v>
      </c>
      <c r="F1177" s="7" t="s">
        <v>1008</v>
      </c>
      <c r="G1177" s="7" t="s">
        <v>4</v>
      </c>
    </row>
    <row r="1178" spans="1:7">
      <c r="A1178" s="7" t="s">
        <v>1006</v>
      </c>
      <c r="B1178" s="7" t="s">
        <v>36</v>
      </c>
      <c r="C1178" s="7" t="str">
        <f>VLOOKUP(B1178,Indice!$B$1:$C$22,2,0)</f>
        <v>ALERTAS</v>
      </c>
      <c r="D1178" s="7" t="str">
        <f>$A1178&amp;"-"&amp;$C1178&amp;"-"&amp;TEXT(COUNTIFS($A$2:$A1178,$A1178,$C$2:$C1178,$C1178),"000")</f>
        <v>F3-ALERTAS-239</v>
      </c>
      <c r="E1178" s="7" t="s">
        <v>1246</v>
      </c>
      <c r="F1178" s="7" t="s">
        <v>1008</v>
      </c>
      <c r="G1178" s="7" t="s">
        <v>4</v>
      </c>
    </row>
    <row r="1179" spans="1:7">
      <c r="A1179" s="7" t="s">
        <v>1006</v>
      </c>
      <c r="B1179" s="7" t="s">
        <v>36</v>
      </c>
      <c r="C1179" s="7" t="str">
        <f>VLOOKUP(B1179,Indice!$B$1:$C$22,2,0)</f>
        <v>ALERTAS</v>
      </c>
      <c r="D1179" s="7" t="str">
        <f>$A1179&amp;"-"&amp;$C1179&amp;"-"&amp;TEXT(COUNTIFS($A$2:$A1179,$A1179,$C$2:$C1179,$C1179),"000")</f>
        <v>F3-ALERTAS-240</v>
      </c>
      <c r="E1179" s="7" t="s">
        <v>1247</v>
      </c>
      <c r="F1179" s="7" t="s">
        <v>1008</v>
      </c>
      <c r="G1179" s="7" t="s">
        <v>4</v>
      </c>
    </row>
    <row r="1180" spans="1:7">
      <c r="A1180" s="7" t="s">
        <v>1006</v>
      </c>
      <c r="B1180" s="7" t="s">
        <v>36</v>
      </c>
      <c r="C1180" s="7" t="str">
        <f>VLOOKUP(B1180,Indice!$B$1:$C$22,2,0)</f>
        <v>ALERTAS</v>
      </c>
      <c r="D1180" s="7" t="str">
        <f>$A1180&amp;"-"&amp;$C1180&amp;"-"&amp;TEXT(COUNTIFS($A$2:$A1180,$A1180,$C$2:$C1180,$C1180),"000")</f>
        <v>F3-ALERTAS-241</v>
      </c>
      <c r="E1180" s="7" t="s">
        <v>1248</v>
      </c>
      <c r="F1180" s="7" t="s">
        <v>1008</v>
      </c>
      <c r="G1180" s="7" t="s">
        <v>4</v>
      </c>
    </row>
    <row r="1181" spans="1:7">
      <c r="A1181" s="7" t="s">
        <v>1006</v>
      </c>
      <c r="B1181" s="7" t="s">
        <v>36</v>
      </c>
      <c r="C1181" s="7" t="str">
        <f>VLOOKUP(B1181,Indice!$B$1:$C$22,2,0)</f>
        <v>ALERTAS</v>
      </c>
      <c r="D1181" s="7" t="str">
        <f>$A1181&amp;"-"&amp;$C1181&amp;"-"&amp;TEXT(COUNTIFS($A$2:$A1181,$A1181,$C$2:$C1181,$C1181),"000")</f>
        <v>F3-ALERTAS-242</v>
      </c>
      <c r="E1181" s="7" t="s">
        <v>1249</v>
      </c>
      <c r="F1181" s="7" t="s">
        <v>1008</v>
      </c>
      <c r="G1181" s="7" t="s">
        <v>4</v>
      </c>
    </row>
    <row r="1182" spans="1:7">
      <c r="A1182" s="7" t="s">
        <v>1006</v>
      </c>
      <c r="B1182" s="7" t="s">
        <v>36</v>
      </c>
      <c r="C1182" s="7" t="str">
        <f>VLOOKUP(B1182,Indice!$B$1:$C$22,2,0)</f>
        <v>ALERTAS</v>
      </c>
      <c r="D1182" s="7" t="str">
        <f>$A1182&amp;"-"&amp;$C1182&amp;"-"&amp;TEXT(COUNTIFS($A$2:$A1182,$A1182,$C$2:$C1182,$C1182),"000")</f>
        <v>F3-ALERTAS-243</v>
      </c>
      <c r="E1182" s="7" t="s">
        <v>1250</v>
      </c>
      <c r="F1182" s="7" t="s">
        <v>1008</v>
      </c>
      <c r="G1182" s="7" t="s">
        <v>4</v>
      </c>
    </row>
    <row r="1183" spans="1:7">
      <c r="A1183" s="7" t="s">
        <v>1006</v>
      </c>
      <c r="B1183" s="7" t="s">
        <v>36</v>
      </c>
      <c r="C1183" s="7" t="str">
        <f>VLOOKUP(B1183,Indice!$B$1:$C$22,2,0)</f>
        <v>ALERTAS</v>
      </c>
      <c r="D1183" s="7" t="str">
        <f>$A1183&amp;"-"&amp;$C1183&amp;"-"&amp;TEXT(COUNTIFS($A$2:$A1183,$A1183,$C$2:$C1183,$C1183),"000")</f>
        <v>F3-ALERTAS-244</v>
      </c>
      <c r="E1183" s="7" t="s">
        <v>1251</v>
      </c>
      <c r="F1183" s="7" t="s">
        <v>1008</v>
      </c>
      <c r="G1183" s="7" t="s">
        <v>4</v>
      </c>
    </row>
    <row r="1184" spans="1:7">
      <c r="A1184" s="7" t="s">
        <v>1006</v>
      </c>
      <c r="B1184" s="7" t="s">
        <v>36</v>
      </c>
      <c r="C1184" s="7" t="str">
        <f>VLOOKUP(B1184,Indice!$B$1:$C$22,2,0)</f>
        <v>ALERTAS</v>
      </c>
      <c r="D1184" s="7" t="str">
        <f>$A1184&amp;"-"&amp;$C1184&amp;"-"&amp;TEXT(COUNTIFS($A$2:$A1184,$A1184,$C$2:$C1184,$C1184),"000")</f>
        <v>F3-ALERTAS-245</v>
      </c>
      <c r="E1184" s="7" t="s">
        <v>1252</v>
      </c>
      <c r="F1184" s="7" t="s">
        <v>1008</v>
      </c>
      <c r="G1184" s="7" t="s">
        <v>4</v>
      </c>
    </row>
    <row r="1185" spans="1:7">
      <c r="A1185" s="7" t="s">
        <v>1006</v>
      </c>
      <c r="B1185" s="7" t="s">
        <v>36</v>
      </c>
      <c r="C1185" s="7" t="str">
        <f>VLOOKUP(B1185,Indice!$B$1:$C$22,2,0)</f>
        <v>ALERTAS</v>
      </c>
      <c r="D1185" s="7" t="str">
        <f>$A1185&amp;"-"&amp;$C1185&amp;"-"&amp;TEXT(COUNTIFS($A$2:$A1185,$A1185,$C$2:$C1185,$C1185),"000")</f>
        <v>F3-ALERTAS-246</v>
      </c>
      <c r="E1185" s="7" t="s">
        <v>1253</v>
      </c>
      <c r="F1185" s="7" t="s">
        <v>1008</v>
      </c>
      <c r="G1185" s="7" t="s">
        <v>4</v>
      </c>
    </row>
    <row r="1186" spans="1:7">
      <c r="A1186" s="7" t="s">
        <v>1006</v>
      </c>
      <c r="B1186" s="7" t="s">
        <v>36</v>
      </c>
      <c r="C1186" s="7" t="str">
        <f>VLOOKUP(B1186,Indice!$B$1:$C$22,2,0)</f>
        <v>ALERTAS</v>
      </c>
      <c r="D1186" s="7" t="str">
        <f>$A1186&amp;"-"&amp;$C1186&amp;"-"&amp;TEXT(COUNTIFS($A$2:$A1186,$A1186,$C$2:$C1186,$C1186),"000")</f>
        <v>F3-ALERTAS-247</v>
      </c>
      <c r="E1186" s="7" t="s">
        <v>1254</v>
      </c>
      <c r="F1186" s="7" t="s">
        <v>1008</v>
      </c>
      <c r="G1186" s="7" t="s">
        <v>4</v>
      </c>
    </row>
    <row r="1187" spans="1:7">
      <c r="A1187" s="7" t="s">
        <v>1006</v>
      </c>
      <c r="B1187" s="7" t="s">
        <v>36</v>
      </c>
      <c r="C1187" s="7" t="str">
        <f>VLOOKUP(B1187,Indice!$B$1:$C$22,2,0)</f>
        <v>ALERTAS</v>
      </c>
      <c r="D1187" s="7" t="str">
        <f>$A1187&amp;"-"&amp;$C1187&amp;"-"&amp;TEXT(COUNTIFS($A$2:$A1187,$A1187,$C$2:$C1187,$C1187),"000")</f>
        <v>F3-ALERTAS-248</v>
      </c>
      <c r="E1187" s="7" t="s">
        <v>1255</v>
      </c>
      <c r="F1187" s="7" t="s">
        <v>1008</v>
      </c>
      <c r="G1187" s="7" t="s">
        <v>4</v>
      </c>
    </row>
    <row r="1188" spans="1:7">
      <c r="A1188" s="7" t="s">
        <v>1006</v>
      </c>
      <c r="B1188" s="7" t="s">
        <v>36</v>
      </c>
      <c r="C1188" s="7" t="str">
        <f>VLOOKUP(B1188,Indice!$B$1:$C$22,2,0)</f>
        <v>ALERTAS</v>
      </c>
      <c r="D1188" s="7" t="str">
        <f>$A1188&amp;"-"&amp;$C1188&amp;"-"&amp;TEXT(COUNTIFS($A$2:$A1188,$A1188,$C$2:$C1188,$C1188),"000")</f>
        <v>F3-ALERTAS-249</v>
      </c>
      <c r="E1188" s="7" t="s">
        <v>1256</v>
      </c>
      <c r="F1188" s="7" t="s">
        <v>1008</v>
      </c>
      <c r="G1188" s="7" t="s">
        <v>4</v>
      </c>
    </row>
    <row r="1189" spans="1:7">
      <c r="A1189" s="7" t="s">
        <v>1006</v>
      </c>
      <c r="B1189" s="7" t="s">
        <v>36</v>
      </c>
      <c r="C1189" s="7" t="str">
        <f>VLOOKUP(B1189,Indice!$B$1:$C$22,2,0)</f>
        <v>ALERTAS</v>
      </c>
      <c r="D1189" s="7" t="str">
        <f>$A1189&amp;"-"&amp;$C1189&amp;"-"&amp;TEXT(COUNTIFS($A$2:$A1189,$A1189,$C$2:$C1189,$C1189),"000")</f>
        <v>F3-ALERTAS-250</v>
      </c>
      <c r="E1189" s="7" t="s">
        <v>1257</v>
      </c>
      <c r="F1189" s="7" t="s">
        <v>1008</v>
      </c>
      <c r="G1189" s="7" t="s">
        <v>4</v>
      </c>
    </row>
    <row r="1190" spans="1:7">
      <c r="A1190" s="7" t="s">
        <v>1006</v>
      </c>
      <c r="B1190" s="7" t="s">
        <v>36</v>
      </c>
      <c r="C1190" s="7" t="str">
        <f>VLOOKUP(B1190,Indice!$B$1:$C$22,2,0)</f>
        <v>ALERTAS</v>
      </c>
      <c r="D1190" s="7" t="str">
        <f>$A1190&amp;"-"&amp;$C1190&amp;"-"&amp;TEXT(COUNTIFS($A$2:$A1190,$A1190,$C$2:$C1190,$C1190),"000")</f>
        <v>F3-ALERTAS-251</v>
      </c>
      <c r="E1190" s="7" t="s">
        <v>1258</v>
      </c>
      <c r="F1190" s="7" t="s">
        <v>1008</v>
      </c>
      <c r="G1190" s="7" t="s">
        <v>4</v>
      </c>
    </row>
    <row r="1191" spans="1:7">
      <c r="A1191" s="7" t="s">
        <v>1006</v>
      </c>
      <c r="B1191" s="7" t="s">
        <v>36</v>
      </c>
      <c r="C1191" s="7" t="str">
        <f>VLOOKUP(B1191,Indice!$B$1:$C$22,2,0)</f>
        <v>ALERTAS</v>
      </c>
      <c r="D1191" s="7" t="str">
        <f>$A1191&amp;"-"&amp;$C1191&amp;"-"&amp;TEXT(COUNTIFS($A$2:$A1191,$A1191,$C$2:$C1191,$C1191),"000")</f>
        <v>F3-ALERTAS-252</v>
      </c>
      <c r="E1191" s="7" t="s">
        <v>1259</v>
      </c>
      <c r="F1191" s="7" t="s">
        <v>1008</v>
      </c>
      <c r="G1191" s="7" t="s">
        <v>4</v>
      </c>
    </row>
    <row r="1192" spans="1:7">
      <c r="A1192" s="7" t="s">
        <v>1006</v>
      </c>
      <c r="B1192" s="7" t="s">
        <v>36</v>
      </c>
      <c r="C1192" s="7" t="str">
        <f>VLOOKUP(B1192,Indice!$B$1:$C$22,2,0)</f>
        <v>ALERTAS</v>
      </c>
      <c r="D1192" s="7" t="str">
        <f>$A1192&amp;"-"&amp;$C1192&amp;"-"&amp;TEXT(COUNTIFS($A$2:$A1192,$A1192,$C$2:$C1192,$C1192),"000")</f>
        <v>F3-ALERTAS-253</v>
      </c>
      <c r="E1192" s="7" t="s">
        <v>1260</v>
      </c>
      <c r="F1192" s="7" t="s">
        <v>1008</v>
      </c>
      <c r="G1192" s="7" t="s">
        <v>4</v>
      </c>
    </row>
    <row r="1193" spans="1:7">
      <c r="A1193" s="7" t="s">
        <v>1006</v>
      </c>
      <c r="B1193" s="7" t="s">
        <v>36</v>
      </c>
      <c r="C1193" s="7" t="str">
        <f>VLOOKUP(B1193,Indice!$B$1:$C$22,2,0)</f>
        <v>ALERTAS</v>
      </c>
      <c r="D1193" s="7" t="str">
        <f>$A1193&amp;"-"&amp;$C1193&amp;"-"&amp;TEXT(COUNTIFS($A$2:$A1193,$A1193,$C$2:$C1193,$C1193),"000")</f>
        <v>F3-ALERTAS-254</v>
      </c>
      <c r="E1193" s="7" t="s">
        <v>1261</v>
      </c>
      <c r="F1193" s="7" t="s">
        <v>1008</v>
      </c>
      <c r="G1193" s="7" t="s">
        <v>4</v>
      </c>
    </row>
    <row r="1194" spans="1:7">
      <c r="A1194" s="7" t="s">
        <v>1006</v>
      </c>
      <c r="B1194" s="7" t="s">
        <v>36</v>
      </c>
      <c r="C1194" s="7" t="str">
        <f>VLOOKUP(B1194,Indice!$B$1:$C$22,2,0)</f>
        <v>ALERTAS</v>
      </c>
      <c r="D1194" s="7" t="str">
        <f>$A1194&amp;"-"&amp;$C1194&amp;"-"&amp;TEXT(COUNTIFS($A$2:$A1194,$A1194,$C$2:$C1194,$C1194),"000")</f>
        <v>F3-ALERTAS-255</v>
      </c>
      <c r="E1194" s="7" t="s">
        <v>1262</v>
      </c>
      <c r="F1194" s="7" t="s">
        <v>1008</v>
      </c>
      <c r="G1194" s="7" t="s">
        <v>4</v>
      </c>
    </row>
    <row r="1195" spans="1:7">
      <c r="A1195" s="7" t="s">
        <v>1006</v>
      </c>
      <c r="B1195" s="7" t="s">
        <v>36</v>
      </c>
      <c r="C1195" s="7" t="str">
        <f>VLOOKUP(B1195,Indice!$B$1:$C$22,2,0)</f>
        <v>ALERTAS</v>
      </c>
      <c r="D1195" s="7" t="str">
        <f>$A1195&amp;"-"&amp;$C1195&amp;"-"&amp;TEXT(COUNTIFS($A$2:$A1195,$A1195,$C$2:$C1195,$C1195),"000")</f>
        <v>F3-ALERTAS-256</v>
      </c>
      <c r="E1195" s="7" t="s">
        <v>1263</v>
      </c>
      <c r="F1195" s="7" t="s">
        <v>1008</v>
      </c>
      <c r="G1195" s="7" t="s">
        <v>4</v>
      </c>
    </row>
    <row r="1196" spans="1:7">
      <c r="A1196" s="7" t="s">
        <v>1006</v>
      </c>
      <c r="B1196" s="7" t="s">
        <v>36</v>
      </c>
      <c r="C1196" s="7" t="str">
        <f>VLOOKUP(B1196,Indice!$B$1:$C$22,2,0)</f>
        <v>ALERTAS</v>
      </c>
      <c r="D1196" s="7" t="str">
        <f>$A1196&amp;"-"&amp;$C1196&amp;"-"&amp;TEXT(COUNTIFS($A$2:$A1196,$A1196,$C$2:$C1196,$C1196),"000")</f>
        <v>F3-ALERTAS-257</v>
      </c>
      <c r="E1196" s="7" t="s">
        <v>1264</v>
      </c>
      <c r="F1196" s="7" t="s">
        <v>1008</v>
      </c>
      <c r="G1196" s="7" t="s">
        <v>4</v>
      </c>
    </row>
    <row r="1197" spans="1:7">
      <c r="A1197" s="7" t="s">
        <v>1006</v>
      </c>
      <c r="B1197" s="7" t="s">
        <v>36</v>
      </c>
      <c r="C1197" s="7" t="str">
        <f>VLOOKUP(B1197,Indice!$B$1:$C$22,2,0)</f>
        <v>ALERTAS</v>
      </c>
      <c r="D1197" s="7" t="str">
        <f>$A1197&amp;"-"&amp;$C1197&amp;"-"&amp;TEXT(COUNTIFS($A$2:$A1197,$A1197,$C$2:$C1197,$C1197),"000")</f>
        <v>F3-ALERTAS-258</v>
      </c>
      <c r="E1197" s="7" t="s">
        <v>1265</v>
      </c>
      <c r="F1197" s="7" t="s">
        <v>1008</v>
      </c>
      <c r="G1197" s="7" t="s">
        <v>4</v>
      </c>
    </row>
    <row r="1198" spans="1:7">
      <c r="A1198" s="7" t="s">
        <v>1006</v>
      </c>
      <c r="B1198" s="7" t="s">
        <v>36</v>
      </c>
      <c r="C1198" s="7" t="str">
        <f>VLOOKUP(B1198,Indice!$B$1:$C$22,2,0)</f>
        <v>ALERTAS</v>
      </c>
      <c r="D1198" s="7" t="str">
        <f>$A1198&amp;"-"&amp;$C1198&amp;"-"&amp;TEXT(COUNTIFS($A$2:$A1198,$A1198,$C$2:$C1198,$C1198),"000")</f>
        <v>F3-ALERTAS-259</v>
      </c>
      <c r="E1198" s="7" t="s">
        <v>1266</v>
      </c>
      <c r="F1198" s="7" t="s">
        <v>1008</v>
      </c>
      <c r="G1198" s="7" t="s">
        <v>4</v>
      </c>
    </row>
    <row r="1199" spans="1:7">
      <c r="A1199" s="7" t="s">
        <v>1006</v>
      </c>
      <c r="B1199" s="7" t="s">
        <v>36</v>
      </c>
      <c r="C1199" s="7" t="str">
        <f>VLOOKUP(B1199,Indice!$B$1:$C$22,2,0)</f>
        <v>ALERTAS</v>
      </c>
      <c r="D1199" s="7" t="str">
        <f>$A1199&amp;"-"&amp;$C1199&amp;"-"&amp;TEXT(COUNTIFS($A$2:$A1199,$A1199,$C$2:$C1199,$C1199),"000")</f>
        <v>F3-ALERTAS-260</v>
      </c>
      <c r="E1199" s="7" t="s">
        <v>1267</v>
      </c>
      <c r="F1199" s="7" t="s">
        <v>1008</v>
      </c>
      <c r="G1199" s="7" t="s">
        <v>4</v>
      </c>
    </row>
    <row r="1200" spans="1:7">
      <c r="A1200" s="7" t="s">
        <v>1006</v>
      </c>
      <c r="B1200" s="7" t="s">
        <v>36</v>
      </c>
      <c r="C1200" s="7" t="str">
        <f>VLOOKUP(B1200,Indice!$B$1:$C$22,2,0)</f>
        <v>ALERTAS</v>
      </c>
      <c r="D1200" s="7" t="str">
        <f>$A1200&amp;"-"&amp;$C1200&amp;"-"&amp;TEXT(COUNTIFS($A$2:$A1200,$A1200,$C$2:$C1200,$C1200),"000")</f>
        <v>F3-ALERTAS-261</v>
      </c>
      <c r="E1200" s="7" t="s">
        <v>1268</v>
      </c>
      <c r="F1200" s="7" t="s">
        <v>1008</v>
      </c>
      <c r="G1200" s="7" t="s">
        <v>4</v>
      </c>
    </row>
    <row r="1201" spans="1:7">
      <c r="A1201" s="7" t="s">
        <v>1006</v>
      </c>
      <c r="B1201" s="7" t="s">
        <v>36</v>
      </c>
      <c r="C1201" s="7" t="str">
        <f>VLOOKUP(B1201,Indice!$B$1:$C$22,2,0)</f>
        <v>ALERTAS</v>
      </c>
      <c r="D1201" s="7" t="str">
        <f>$A1201&amp;"-"&amp;$C1201&amp;"-"&amp;TEXT(COUNTIFS($A$2:$A1201,$A1201,$C$2:$C1201,$C1201),"000")</f>
        <v>F3-ALERTAS-262</v>
      </c>
      <c r="E1201" s="7" t="s">
        <v>1269</v>
      </c>
      <c r="F1201" s="7" t="s">
        <v>1008</v>
      </c>
      <c r="G1201" s="7" t="s">
        <v>4</v>
      </c>
    </row>
    <row r="1202" spans="1:7">
      <c r="A1202" s="7" t="s">
        <v>1006</v>
      </c>
      <c r="B1202" s="7" t="s">
        <v>36</v>
      </c>
      <c r="C1202" s="7" t="str">
        <f>VLOOKUP(B1202,Indice!$B$1:$C$22,2,0)</f>
        <v>ALERTAS</v>
      </c>
      <c r="D1202" s="7" t="str">
        <f>$A1202&amp;"-"&amp;$C1202&amp;"-"&amp;TEXT(COUNTIFS($A$2:$A1202,$A1202,$C$2:$C1202,$C1202),"000")</f>
        <v>F3-ALERTAS-263</v>
      </c>
      <c r="E1202" s="7" t="s">
        <v>1270</v>
      </c>
      <c r="F1202" s="7" t="s">
        <v>1008</v>
      </c>
      <c r="G1202" s="7" t="s">
        <v>4</v>
      </c>
    </row>
    <row r="1203" spans="1:7">
      <c r="A1203" s="7" t="s">
        <v>1006</v>
      </c>
      <c r="B1203" s="7" t="s">
        <v>36</v>
      </c>
      <c r="C1203" s="7" t="str">
        <f>VLOOKUP(B1203,Indice!$B$1:$C$22,2,0)</f>
        <v>ALERTAS</v>
      </c>
      <c r="D1203" s="7" t="str">
        <f>$A1203&amp;"-"&amp;$C1203&amp;"-"&amp;TEXT(COUNTIFS($A$2:$A1203,$A1203,$C$2:$C1203,$C1203),"000")</f>
        <v>F3-ALERTAS-264</v>
      </c>
      <c r="E1203" s="7" t="s">
        <v>1271</v>
      </c>
      <c r="F1203" s="7" t="s">
        <v>1008</v>
      </c>
      <c r="G1203" s="7" t="s">
        <v>4</v>
      </c>
    </row>
    <row r="1204" spans="1:7">
      <c r="A1204" s="7" t="s">
        <v>1006</v>
      </c>
      <c r="B1204" s="7" t="s">
        <v>36</v>
      </c>
      <c r="C1204" s="7" t="str">
        <f>VLOOKUP(B1204,Indice!$B$1:$C$22,2,0)</f>
        <v>ALERTAS</v>
      </c>
      <c r="D1204" s="7" t="str">
        <f>$A1204&amp;"-"&amp;$C1204&amp;"-"&amp;TEXT(COUNTIFS($A$2:$A1204,$A1204,$C$2:$C1204,$C1204),"000")</f>
        <v>F3-ALERTAS-265</v>
      </c>
      <c r="E1204" s="7" t="s">
        <v>1272</v>
      </c>
      <c r="F1204" s="7" t="s">
        <v>1008</v>
      </c>
      <c r="G1204" s="7" t="s">
        <v>4</v>
      </c>
    </row>
    <row r="1205" spans="1:7">
      <c r="A1205" s="7" t="s">
        <v>1006</v>
      </c>
      <c r="B1205" s="7" t="s">
        <v>36</v>
      </c>
      <c r="C1205" s="7" t="str">
        <f>VLOOKUP(B1205,Indice!$B$1:$C$22,2,0)</f>
        <v>ALERTAS</v>
      </c>
      <c r="D1205" s="7" t="str">
        <f>$A1205&amp;"-"&amp;$C1205&amp;"-"&amp;TEXT(COUNTIFS($A$2:$A1205,$A1205,$C$2:$C1205,$C1205),"000")</f>
        <v>F3-ALERTAS-266</v>
      </c>
      <c r="E1205" s="7" t="s">
        <v>1273</v>
      </c>
      <c r="F1205" s="7" t="s">
        <v>1008</v>
      </c>
      <c r="G1205" s="7" t="s">
        <v>4</v>
      </c>
    </row>
    <row r="1206" spans="1:7">
      <c r="A1206" s="7" t="s">
        <v>1006</v>
      </c>
      <c r="B1206" s="7" t="s">
        <v>36</v>
      </c>
      <c r="C1206" s="7" t="str">
        <f>VLOOKUP(B1206,Indice!$B$1:$C$22,2,0)</f>
        <v>ALERTAS</v>
      </c>
      <c r="D1206" s="7" t="str">
        <f>$A1206&amp;"-"&amp;$C1206&amp;"-"&amp;TEXT(COUNTIFS($A$2:$A1206,$A1206,$C$2:$C1206,$C1206),"000")</f>
        <v>F3-ALERTAS-267</v>
      </c>
      <c r="E1206" s="7" t="s">
        <v>1274</v>
      </c>
      <c r="F1206" s="7" t="s">
        <v>1008</v>
      </c>
      <c r="G1206" s="7" t="s">
        <v>4</v>
      </c>
    </row>
    <row r="1207" spans="1:7">
      <c r="A1207" s="7" t="s">
        <v>1006</v>
      </c>
      <c r="B1207" s="7" t="s">
        <v>36</v>
      </c>
      <c r="C1207" s="7" t="str">
        <f>VLOOKUP(B1207,Indice!$B$1:$C$22,2,0)</f>
        <v>ALERTAS</v>
      </c>
      <c r="D1207" s="7" t="str">
        <f>$A1207&amp;"-"&amp;$C1207&amp;"-"&amp;TEXT(COUNTIFS($A$2:$A1207,$A1207,$C$2:$C1207,$C1207),"000")</f>
        <v>F3-ALERTAS-268</v>
      </c>
      <c r="E1207" s="7" t="s">
        <v>1275</v>
      </c>
      <c r="F1207" s="7" t="s">
        <v>1008</v>
      </c>
      <c r="G1207" s="7" t="s">
        <v>4</v>
      </c>
    </row>
    <row r="1208" spans="1:7">
      <c r="A1208" s="7" t="s">
        <v>1006</v>
      </c>
      <c r="B1208" s="7" t="s">
        <v>36</v>
      </c>
      <c r="C1208" s="7" t="str">
        <f>VLOOKUP(B1208,Indice!$B$1:$C$22,2,0)</f>
        <v>ALERTAS</v>
      </c>
      <c r="D1208" s="7" t="str">
        <f>$A1208&amp;"-"&amp;$C1208&amp;"-"&amp;TEXT(COUNTIFS($A$2:$A1208,$A1208,$C$2:$C1208,$C1208),"000")</f>
        <v>F3-ALERTAS-269</v>
      </c>
      <c r="E1208" s="7" t="s">
        <v>1276</v>
      </c>
      <c r="F1208" s="7" t="s">
        <v>1008</v>
      </c>
      <c r="G1208" s="7" t="s">
        <v>4</v>
      </c>
    </row>
    <row r="1209" spans="1:7">
      <c r="A1209" s="7" t="s">
        <v>1006</v>
      </c>
      <c r="B1209" s="7" t="s">
        <v>36</v>
      </c>
      <c r="C1209" s="7" t="str">
        <f>VLOOKUP(B1209,Indice!$B$1:$C$22,2,0)</f>
        <v>ALERTAS</v>
      </c>
      <c r="D1209" s="7" t="str">
        <f>$A1209&amp;"-"&amp;$C1209&amp;"-"&amp;TEXT(COUNTIFS($A$2:$A1209,$A1209,$C$2:$C1209,$C1209),"000")</f>
        <v>F3-ALERTAS-270</v>
      </c>
      <c r="E1209" s="7" t="s">
        <v>1277</v>
      </c>
      <c r="F1209" s="7" t="s">
        <v>1008</v>
      </c>
      <c r="G1209" s="7" t="s">
        <v>4</v>
      </c>
    </row>
    <row r="1210" spans="1:7">
      <c r="A1210" s="7" t="s">
        <v>1006</v>
      </c>
      <c r="B1210" s="7" t="s">
        <v>36</v>
      </c>
      <c r="C1210" s="7" t="str">
        <f>VLOOKUP(B1210,Indice!$B$1:$C$22,2,0)</f>
        <v>ALERTAS</v>
      </c>
      <c r="D1210" s="7" t="str">
        <f>$A1210&amp;"-"&amp;$C1210&amp;"-"&amp;TEXT(COUNTIFS($A$2:$A1210,$A1210,$C$2:$C1210,$C1210),"000")</f>
        <v>F3-ALERTAS-271</v>
      </c>
      <c r="E1210" s="7" t="s">
        <v>1278</v>
      </c>
      <c r="F1210" s="7" t="s">
        <v>1008</v>
      </c>
      <c r="G1210" s="7" t="s">
        <v>4</v>
      </c>
    </row>
    <row r="1211" spans="1:7">
      <c r="A1211" s="7" t="s">
        <v>1006</v>
      </c>
      <c r="B1211" s="7" t="s">
        <v>36</v>
      </c>
      <c r="C1211" s="7" t="str">
        <f>VLOOKUP(B1211,Indice!$B$1:$C$22,2,0)</f>
        <v>ALERTAS</v>
      </c>
      <c r="D1211" s="7" t="str">
        <f>$A1211&amp;"-"&amp;$C1211&amp;"-"&amp;TEXT(COUNTIFS($A$2:$A1211,$A1211,$C$2:$C1211,$C1211),"000")</f>
        <v>F3-ALERTAS-272</v>
      </c>
      <c r="E1211" s="7" t="s">
        <v>1279</v>
      </c>
      <c r="F1211" s="7" t="s">
        <v>1008</v>
      </c>
      <c r="G1211" s="7" t="s">
        <v>4</v>
      </c>
    </row>
    <row r="1212" spans="1:7">
      <c r="A1212" s="7" t="s">
        <v>1006</v>
      </c>
      <c r="B1212" s="7" t="s">
        <v>36</v>
      </c>
      <c r="C1212" s="7" t="str">
        <f>VLOOKUP(B1212,Indice!$B$1:$C$22,2,0)</f>
        <v>ALERTAS</v>
      </c>
      <c r="D1212" s="7" t="str">
        <f>$A1212&amp;"-"&amp;$C1212&amp;"-"&amp;TEXT(COUNTIFS($A$2:$A1212,$A1212,$C$2:$C1212,$C1212),"000")</f>
        <v>F3-ALERTAS-273</v>
      </c>
      <c r="E1212" s="7" t="s">
        <v>1280</v>
      </c>
      <c r="F1212" s="7" t="s">
        <v>1008</v>
      </c>
      <c r="G1212" s="7" t="s">
        <v>4</v>
      </c>
    </row>
    <row r="1213" spans="1:7">
      <c r="A1213" s="7" t="s">
        <v>1006</v>
      </c>
      <c r="B1213" s="7" t="s">
        <v>36</v>
      </c>
      <c r="C1213" s="7" t="str">
        <f>VLOOKUP(B1213,Indice!$B$1:$C$22,2,0)</f>
        <v>ALERTAS</v>
      </c>
      <c r="D1213" s="7" t="str">
        <f>$A1213&amp;"-"&amp;$C1213&amp;"-"&amp;TEXT(COUNTIFS($A$2:$A1213,$A1213,$C$2:$C1213,$C1213),"000")</f>
        <v>F3-ALERTAS-274</v>
      </c>
      <c r="E1213" s="7" t="s">
        <v>1281</v>
      </c>
      <c r="F1213" s="7" t="s">
        <v>1008</v>
      </c>
      <c r="G1213" s="7" t="s">
        <v>4</v>
      </c>
    </row>
    <row r="1214" spans="1:7">
      <c r="A1214" s="7" t="s">
        <v>1006</v>
      </c>
      <c r="B1214" s="7" t="s">
        <v>36</v>
      </c>
      <c r="C1214" s="7" t="str">
        <f>VLOOKUP(B1214,Indice!$B$1:$C$22,2,0)</f>
        <v>ALERTAS</v>
      </c>
      <c r="D1214" s="7" t="str">
        <f>$A1214&amp;"-"&amp;$C1214&amp;"-"&amp;TEXT(COUNTIFS($A$2:$A1214,$A1214,$C$2:$C1214,$C1214),"000")</f>
        <v>F3-ALERTAS-275</v>
      </c>
      <c r="E1214" s="7" t="s">
        <v>1282</v>
      </c>
      <c r="F1214" s="7" t="s">
        <v>1008</v>
      </c>
      <c r="G1214" s="7" t="s">
        <v>4</v>
      </c>
    </row>
    <row r="1215" spans="1:7">
      <c r="A1215" s="7" t="s">
        <v>1006</v>
      </c>
      <c r="B1215" s="7" t="s">
        <v>36</v>
      </c>
      <c r="C1215" s="7" t="str">
        <f>VLOOKUP(B1215,Indice!$B$1:$C$22,2,0)</f>
        <v>ALERTAS</v>
      </c>
      <c r="D1215" s="7" t="str">
        <f>$A1215&amp;"-"&amp;$C1215&amp;"-"&amp;TEXT(COUNTIFS($A$2:$A1215,$A1215,$C$2:$C1215,$C1215),"000")</f>
        <v>F3-ALERTAS-276</v>
      </c>
      <c r="E1215" s="7" t="s">
        <v>1283</v>
      </c>
      <c r="F1215" s="7" t="s">
        <v>1008</v>
      </c>
      <c r="G1215" s="7" t="s">
        <v>4</v>
      </c>
    </row>
    <row r="1216" spans="1:7">
      <c r="A1216" s="7" t="s">
        <v>1006</v>
      </c>
      <c r="B1216" s="7" t="s">
        <v>36</v>
      </c>
      <c r="C1216" s="7" t="str">
        <f>VLOOKUP(B1216,Indice!$B$1:$C$22,2,0)</f>
        <v>ALERTAS</v>
      </c>
      <c r="D1216" s="7" t="str">
        <f>$A1216&amp;"-"&amp;$C1216&amp;"-"&amp;TEXT(COUNTIFS($A$2:$A1216,$A1216,$C$2:$C1216,$C1216),"000")</f>
        <v>F3-ALERTAS-277</v>
      </c>
      <c r="E1216" s="7" t="s">
        <v>1284</v>
      </c>
      <c r="F1216" s="7" t="s">
        <v>1008</v>
      </c>
      <c r="G1216" s="7" t="s">
        <v>4</v>
      </c>
    </row>
    <row r="1217" spans="1:7">
      <c r="A1217" s="7" t="s">
        <v>1006</v>
      </c>
      <c r="B1217" s="7" t="s">
        <v>36</v>
      </c>
      <c r="C1217" s="7" t="str">
        <f>VLOOKUP(B1217,Indice!$B$1:$C$22,2,0)</f>
        <v>ALERTAS</v>
      </c>
      <c r="D1217" s="7" t="str">
        <f>$A1217&amp;"-"&amp;$C1217&amp;"-"&amp;TEXT(COUNTIFS($A$2:$A1217,$A1217,$C$2:$C1217,$C1217),"000")</f>
        <v>F3-ALERTAS-278</v>
      </c>
      <c r="E1217" s="7" t="s">
        <v>1285</v>
      </c>
      <c r="F1217" s="7" t="s">
        <v>1008</v>
      </c>
      <c r="G1217" s="7" t="s">
        <v>4</v>
      </c>
    </row>
    <row r="1218" spans="1:7">
      <c r="A1218" s="7" t="s">
        <v>1006</v>
      </c>
      <c r="B1218" s="7" t="s">
        <v>36</v>
      </c>
      <c r="C1218" s="7" t="str">
        <f>VLOOKUP(B1218,Indice!$B$1:$C$22,2,0)</f>
        <v>ALERTAS</v>
      </c>
      <c r="D1218" s="7" t="str">
        <f>$A1218&amp;"-"&amp;$C1218&amp;"-"&amp;TEXT(COUNTIFS($A$2:$A1218,$A1218,$C$2:$C1218,$C1218),"000")</f>
        <v>F3-ALERTAS-279</v>
      </c>
      <c r="E1218" s="7" t="s">
        <v>1286</v>
      </c>
      <c r="F1218" s="7" t="s">
        <v>1008</v>
      </c>
      <c r="G1218" s="7" t="s">
        <v>4</v>
      </c>
    </row>
    <row r="1219" spans="1:7">
      <c r="A1219" s="7" t="s">
        <v>1006</v>
      </c>
      <c r="B1219" s="7" t="s">
        <v>36</v>
      </c>
      <c r="C1219" s="7" t="str">
        <f>VLOOKUP(B1219,Indice!$B$1:$C$22,2,0)</f>
        <v>ALERTAS</v>
      </c>
      <c r="D1219" s="7" t="str">
        <f>$A1219&amp;"-"&amp;$C1219&amp;"-"&amp;TEXT(COUNTIFS($A$2:$A1219,$A1219,$C$2:$C1219,$C1219),"000")</f>
        <v>F3-ALERTAS-280</v>
      </c>
      <c r="E1219" s="7" t="s">
        <v>1287</v>
      </c>
      <c r="F1219" s="7" t="s">
        <v>1008</v>
      </c>
      <c r="G1219" s="7" t="s">
        <v>4</v>
      </c>
    </row>
    <row r="1220" spans="1:7">
      <c r="A1220" s="7" t="s">
        <v>1006</v>
      </c>
      <c r="B1220" s="7" t="s">
        <v>36</v>
      </c>
      <c r="C1220" s="7" t="str">
        <f>VLOOKUP(B1220,Indice!$B$1:$C$22,2,0)</f>
        <v>ALERTAS</v>
      </c>
      <c r="D1220" s="7" t="str">
        <f>$A1220&amp;"-"&amp;$C1220&amp;"-"&amp;TEXT(COUNTIFS($A$2:$A1220,$A1220,$C$2:$C1220,$C1220),"000")</f>
        <v>F3-ALERTAS-281</v>
      </c>
      <c r="E1220" s="7" t="s">
        <v>1288</v>
      </c>
      <c r="F1220" s="7" t="s">
        <v>1008</v>
      </c>
      <c r="G1220" s="7" t="s">
        <v>4</v>
      </c>
    </row>
    <row r="1221" spans="1:7">
      <c r="A1221" s="7" t="s">
        <v>1006</v>
      </c>
      <c r="B1221" s="7" t="s">
        <v>36</v>
      </c>
      <c r="C1221" s="7" t="str">
        <f>VLOOKUP(B1221,Indice!$B$1:$C$22,2,0)</f>
        <v>ALERTAS</v>
      </c>
      <c r="D1221" s="7" t="str">
        <f>$A1221&amp;"-"&amp;$C1221&amp;"-"&amp;TEXT(COUNTIFS($A$2:$A1221,$A1221,$C$2:$C1221,$C1221),"000")</f>
        <v>F3-ALERTAS-282</v>
      </c>
      <c r="E1221" s="7" t="s">
        <v>1289</v>
      </c>
      <c r="F1221" s="7" t="s">
        <v>1008</v>
      </c>
      <c r="G1221" s="7" t="s">
        <v>4</v>
      </c>
    </row>
    <row r="1222" spans="1:7">
      <c r="A1222" s="7" t="s">
        <v>1006</v>
      </c>
      <c r="B1222" s="7" t="s">
        <v>36</v>
      </c>
      <c r="C1222" s="7" t="str">
        <f>VLOOKUP(B1222,Indice!$B$1:$C$22,2,0)</f>
        <v>ALERTAS</v>
      </c>
      <c r="D1222" s="7" t="str">
        <f>$A1222&amp;"-"&amp;$C1222&amp;"-"&amp;TEXT(COUNTIFS($A$2:$A1222,$A1222,$C$2:$C1222,$C1222),"000")</f>
        <v>F3-ALERTAS-283</v>
      </c>
      <c r="E1222" s="7" t="s">
        <v>1290</v>
      </c>
      <c r="F1222" s="7" t="s">
        <v>1008</v>
      </c>
      <c r="G1222" s="7" t="s">
        <v>4</v>
      </c>
    </row>
    <row r="1223" spans="1:7">
      <c r="A1223" s="7" t="s">
        <v>1006</v>
      </c>
      <c r="B1223" s="7" t="s">
        <v>36</v>
      </c>
      <c r="C1223" s="7" t="str">
        <f>VLOOKUP(B1223,Indice!$B$1:$C$22,2,0)</f>
        <v>ALERTAS</v>
      </c>
      <c r="D1223" s="7" t="str">
        <f>$A1223&amp;"-"&amp;$C1223&amp;"-"&amp;TEXT(COUNTIFS($A$2:$A1223,$A1223,$C$2:$C1223,$C1223),"000")</f>
        <v>F3-ALERTAS-284</v>
      </c>
      <c r="E1223" s="7" t="s">
        <v>1291</v>
      </c>
      <c r="F1223" s="7" t="s">
        <v>1008</v>
      </c>
      <c r="G1223" s="7" t="s">
        <v>4</v>
      </c>
    </row>
    <row r="1224" spans="1:7">
      <c r="A1224" s="7" t="s">
        <v>1006</v>
      </c>
      <c r="B1224" s="7" t="s">
        <v>36</v>
      </c>
      <c r="C1224" s="7" t="str">
        <f>VLOOKUP(B1224,Indice!$B$1:$C$22,2,0)</f>
        <v>ALERTAS</v>
      </c>
      <c r="D1224" s="7" t="str">
        <f>$A1224&amp;"-"&amp;$C1224&amp;"-"&amp;TEXT(COUNTIFS($A$2:$A1224,$A1224,$C$2:$C1224,$C1224),"000")</f>
        <v>F3-ALERTAS-285</v>
      </c>
      <c r="E1224" s="7" t="s">
        <v>1292</v>
      </c>
      <c r="F1224" s="7" t="s">
        <v>1008</v>
      </c>
      <c r="G1224" s="7" t="s">
        <v>4</v>
      </c>
    </row>
    <row r="1225" spans="1:7">
      <c r="A1225" s="7" t="s">
        <v>1006</v>
      </c>
      <c r="B1225" s="7" t="s">
        <v>36</v>
      </c>
      <c r="C1225" s="7" t="str">
        <f>VLOOKUP(B1225,Indice!$B$1:$C$22,2,0)</f>
        <v>ALERTAS</v>
      </c>
      <c r="D1225" s="7" t="str">
        <f>$A1225&amp;"-"&amp;$C1225&amp;"-"&amp;TEXT(COUNTIFS($A$2:$A1225,$A1225,$C$2:$C1225,$C1225),"000")</f>
        <v>F3-ALERTAS-286</v>
      </c>
      <c r="E1225" s="7" t="s">
        <v>1293</v>
      </c>
      <c r="F1225" s="7" t="s">
        <v>1008</v>
      </c>
      <c r="G1225" s="7" t="s">
        <v>4</v>
      </c>
    </row>
    <row r="1226" spans="1:7">
      <c r="A1226" s="7" t="s">
        <v>1006</v>
      </c>
      <c r="B1226" s="7" t="s">
        <v>36</v>
      </c>
      <c r="C1226" s="7" t="str">
        <f>VLOOKUP(B1226,Indice!$B$1:$C$22,2,0)</f>
        <v>ALERTAS</v>
      </c>
      <c r="D1226" s="7" t="str">
        <f>$A1226&amp;"-"&amp;$C1226&amp;"-"&amp;TEXT(COUNTIFS($A$2:$A1226,$A1226,$C$2:$C1226,$C1226),"000")</f>
        <v>F3-ALERTAS-287</v>
      </c>
      <c r="E1226" s="7" t="s">
        <v>1294</v>
      </c>
      <c r="F1226" s="7" t="s">
        <v>1008</v>
      </c>
      <c r="G1226" s="7" t="s">
        <v>4</v>
      </c>
    </row>
    <row r="1227" spans="1:7">
      <c r="A1227" s="7" t="s">
        <v>1006</v>
      </c>
      <c r="B1227" s="7" t="s">
        <v>36</v>
      </c>
      <c r="C1227" s="7" t="str">
        <f>VLOOKUP(B1227,Indice!$B$1:$C$22,2,0)</f>
        <v>ALERTAS</v>
      </c>
      <c r="D1227" s="7" t="str">
        <f>$A1227&amp;"-"&amp;$C1227&amp;"-"&amp;TEXT(COUNTIFS($A$2:$A1227,$A1227,$C$2:$C1227,$C1227),"000")</f>
        <v>F3-ALERTAS-288</v>
      </c>
      <c r="E1227" s="7" t="s">
        <v>1295</v>
      </c>
      <c r="F1227" s="7" t="s">
        <v>1008</v>
      </c>
      <c r="G1227" s="7" t="s">
        <v>4</v>
      </c>
    </row>
    <row r="1228" spans="1:7">
      <c r="A1228" s="7" t="s">
        <v>1006</v>
      </c>
      <c r="B1228" s="7" t="s">
        <v>36</v>
      </c>
      <c r="C1228" s="7" t="str">
        <f>VLOOKUP(B1228,Indice!$B$1:$C$22,2,0)</f>
        <v>ALERTAS</v>
      </c>
      <c r="D1228" s="7" t="str">
        <f>$A1228&amp;"-"&amp;$C1228&amp;"-"&amp;TEXT(COUNTIFS($A$2:$A1228,$A1228,$C$2:$C1228,$C1228),"000")</f>
        <v>F3-ALERTAS-289</v>
      </c>
      <c r="E1228" s="7" t="s">
        <v>1296</v>
      </c>
      <c r="F1228" s="7" t="s">
        <v>1008</v>
      </c>
      <c r="G1228" s="7" t="s">
        <v>4</v>
      </c>
    </row>
    <row r="1229" spans="1:7">
      <c r="A1229" s="7" t="s">
        <v>1006</v>
      </c>
      <c r="B1229" s="7" t="s">
        <v>36</v>
      </c>
      <c r="C1229" s="7" t="str">
        <f>VLOOKUP(B1229,Indice!$B$1:$C$22,2,0)</f>
        <v>ALERTAS</v>
      </c>
      <c r="D1229" s="7" t="str">
        <f>$A1229&amp;"-"&amp;$C1229&amp;"-"&amp;TEXT(COUNTIFS($A$2:$A1229,$A1229,$C$2:$C1229,$C1229),"000")</f>
        <v>F3-ALERTAS-290</v>
      </c>
      <c r="E1229" s="7" t="s">
        <v>1297</v>
      </c>
      <c r="F1229" s="7" t="s">
        <v>1008</v>
      </c>
      <c r="G1229" s="7" t="s">
        <v>4</v>
      </c>
    </row>
    <row r="1230" spans="1:7">
      <c r="A1230" s="7" t="s">
        <v>1006</v>
      </c>
      <c r="B1230" s="7" t="s">
        <v>36</v>
      </c>
      <c r="C1230" s="7" t="str">
        <f>VLOOKUP(B1230,Indice!$B$1:$C$22,2,0)</f>
        <v>ALERTAS</v>
      </c>
      <c r="D1230" s="7" t="str">
        <f>$A1230&amp;"-"&amp;$C1230&amp;"-"&amp;TEXT(COUNTIFS($A$2:$A1230,$A1230,$C$2:$C1230,$C1230),"000")</f>
        <v>F3-ALERTAS-291</v>
      </c>
      <c r="E1230" s="7" t="s">
        <v>1298</v>
      </c>
      <c r="F1230" s="7" t="s">
        <v>1008</v>
      </c>
      <c r="G1230" s="7" t="s">
        <v>4</v>
      </c>
    </row>
    <row r="1231" spans="1:7">
      <c r="A1231" s="7" t="s">
        <v>1006</v>
      </c>
      <c r="B1231" s="7" t="s">
        <v>36</v>
      </c>
      <c r="C1231" s="7" t="str">
        <f>VLOOKUP(B1231,Indice!$B$1:$C$22,2,0)</f>
        <v>ALERTAS</v>
      </c>
      <c r="D1231" s="7" t="str">
        <f>$A1231&amp;"-"&amp;$C1231&amp;"-"&amp;TEXT(COUNTIFS($A$2:$A1231,$A1231,$C$2:$C1231,$C1231),"000")</f>
        <v>F3-ALERTAS-292</v>
      </c>
      <c r="E1231" s="7" t="s">
        <v>1299</v>
      </c>
      <c r="F1231" s="7" t="s">
        <v>1008</v>
      </c>
      <c r="G1231" s="7" t="s">
        <v>4</v>
      </c>
    </row>
    <row r="1232" spans="1:7">
      <c r="A1232" s="7" t="s">
        <v>1006</v>
      </c>
      <c r="B1232" s="7" t="s">
        <v>36</v>
      </c>
      <c r="C1232" s="7" t="str">
        <f>VLOOKUP(B1232,Indice!$B$1:$C$22,2,0)</f>
        <v>ALERTAS</v>
      </c>
      <c r="D1232" s="7" t="str">
        <f>$A1232&amp;"-"&amp;$C1232&amp;"-"&amp;TEXT(COUNTIFS($A$2:$A1232,$A1232,$C$2:$C1232,$C1232),"000")</f>
        <v>F3-ALERTAS-293</v>
      </c>
      <c r="E1232" s="7" t="s">
        <v>1300</v>
      </c>
      <c r="F1232" s="7" t="s">
        <v>1008</v>
      </c>
      <c r="G1232" s="7" t="s">
        <v>4</v>
      </c>
    </row>
    <row r="1233" spans="1:7">
      <c r="A1233" s="7" t="s">
        <v>1006</v>
      </c>
      <c r="B1233" s="7" t="s">
        <v>36</v>
      </c>
      <c r="C1233" s="7" t="str">
        <f>VLOOKUP(B1233,Indice!$B$1:$C$22,2,0)</f>
        <v>ALERTAS</v>
      </c>
      <c r="D1233" s="7" t="str">
        <f>$A1233&amp;"-"&amp;$C1233&amp;"-"&amp;TEXT(COUNTIFS($A$2:$A1233,$A1233,$C$2:$C1233,$C1233),"000")</f>
        <v>F3-ALERTAS-294</v>
      </c>
      <c r="E1233" s="7" t="s">
        <v>1301</v>
      </c>
      <c r="F1233" s="7" t="s">
        <v>1008</v>
      </c>
      <c r="G1233" s="7" t="s">
        <v>4</v>
      </c>
    </row>
    <row r="1234" spans="1:7">
      <c r="A1234" s="7" t="s">
        <v>1006</v>
      </c>
      <c r="B1234" s="7" t="s">
        <v>36</v>
      </c>
      <c r="C1234" s="7" t="str">
        <f>VLOOKUP(B1234,Indice!$B$1:$C$22,2,0)</f>
        <v>ALERTAS</v>
      </c>
      <c r="D1234" s="7" t="str">
        <f>$A1234&amp;"-"&amp;$C1234&amp;"-"&amp;TEXT(COUNTIFS($A$2:$A1234,$A1234,$C$2:$C1234,$C1234),"000")</f>
        <v>F3-ALERTAS-295</v>
      </c>
      <c r="E1234" s="7" t="s">
        <v>1302</v>
      </c>
      <c r="F1234" s="7" t="s">
        <v>1008</v>
      </c>
      <c r="G1234" s="7" t="s">
        <v>4</v>
      </c>
    </row>
    <row r="1235" spans="1:7">
      <c r="A1235" s="7" t="s">
        <v>1006</v>
      </c>
      <c r="B1235" s="7" t="s">
        <v>36</v>
      </c>
      <c r="C1235" s="7" t="str">
        <f>VLOOKUP(B1235,Indice!$B$1:$C$22,2,0)</f>
        <v>ALERTAS</v>
      </c>
      <c r="D1235" s="7" t="str">
        <f>$A1235&amp;"-"&amp;$C1235&amp;"-"&amp;TEXT(COUNTIFS($A$2:$A1235,$A1235,$C$2:$C1235,$C1235),"000")</f>
        <v>F3-ALERTAS-296</v>
      </c>
      <c r="E1235" s="7" t="s">
        <v>1303</v>
      </c>
      <c r="F1235" s="7" t="s">
        <v>1008</v>
      </c>
      <c r="G1235" s="7" t="s">
        <v>4</v>
      </c>
    </row>
    <row r="1236" spans="1:7">
      <c r="A1236" s="7" t="s">
        <v>1006</v>
      </c>
      <c r="B1236" s="7" t="s">
        <v>36</v>
      </c>
      <c r="C1236" s="7" t="str">
        <f>VLOOKUP(B1236,Indice!$B$1:$C$22,2,0)</f>
        <v>ALERTAS</v>
      </c>
      <c r="D1236" s="7" t="str">
        <f>$A1236&amp;"-"&amp;$C1236&amp;"-"&amp;TEXT(COUNTIFS($A$2:$A1236,$A1236,$C$2:$C1236,$C1236),"000")</f>
        <v>F3-ALERTAS-297</v>
      </c>
      <c r="E1236" s="7" t="s">
        <v>1304</v>
      </c>
      <c r="F1236" s="7" t="s">
        <v>1008</v>
      </c>
      <c r="G1236" s="7" t="s">
        <v>4</v>
      </c>
    </row>
    <row r="1237" spans="1:7">
      <c r="A1237" s="7" t="s">
        <v>1006</v>
      </c>
      <c r="B1237" s="7" t="s">
        <v>36</v>
      </c>
      <c r="C1237" s="7" t="str">
        <f>VLOOKUP(B1237,Indice!$B$1:$C$22,2,0)</f>
        <v>ALERTAS</v>
      </c>
      <c r="D1237" s="7" t="str">
        <f>$A1237&amp;"-"&amp;$C1237&amp;"-"&amp;TEXT(COUNTIFS($A$2:$A1237,$A1237,$C$2:$C1237,$C1237),"000")</f>
        <v>F3-ALERTAS-298</v>
      </c>
      <c r="E1237" s="7" t="s">
        <v>1305</v>
      </c>
      <c r="F1237" s="7" t="s">
        <v>1008</v>
      </c>
      <c r="G1237" s="7" t="s">
        <v>4</v>
      </c>
    </row>
    <row r="1238" spans="1:7">
      <c r="A1238" s="7" t="s">
        <v>1006</v>
      </c>
      <c r="B1238" s="7" t="s">
        <v>36</v>
      </c>
      <c r="C1238" s="7" t="str">
        <f>VLOOKUP(B1238,Indice!$B$1:$C$22,2,0)</f>
        <v>ALERTAS</v>
      </c>
      <c r="D1238" s="7" t="str">
        <f>$A1238&amp;"-"&amp;$C1238&amp;"-"&amp;TEXT(COUNTIFS($A$2:$A1238,$A1238,$C$2:$C1238,$C1238),"000")</f>
        <v>F3-ALERTAS-299</v>
      </c>
      <c r="E1238" s="7" t="s">
        <v>1306</v>
      </c>
      <c r="F1238" s="7" t="s">
        <v>1008</v>
      </c>
      <c r="G1238" s="7" t="s">
        <v>4</v>
      </c>
    </row>
    <row r="1239" spans="1:7">
      <c r="A1239" s="7" t="s">
        <v>1006</v>
      </c>
      <c r="B1239" s="7" t="s">
        <v>36</v>
      </c>
      <c r="C1239" s="7" t="str">
        <f>VLOOKUP(B1239,Indice!$B$1:$C$22,2,0)</f>
        <v>ALERTAS</v>
      </c>
      <c r="D1239" s="7" t="str">
        <f>$A1239&amp;"-"&amp;$C1239&amp;"-"&amp;TEXT(COUNTIFS($A$2:$A1239,$A1239,$C$2:$C1239,$C1239),"000")</f>
        <v>F3-ALERTAS-300</v>
      </c>
      <c r="E1239" s="7" t="s">
        <v>1307</v>
      </c>
      <c r="F1239" s="7" t="s">
        <v>1008</v>
      </c>
      <c r="G1239" s="7" t="s">
        <v>4</v>
      </c>
    </row>
    <row r="1240" spans="1:7">
      <c r="A1240" s="7" t="s">
        <v>1006</v>
      </c>
      <c r="B1240" s="7" t="s">
        <v>36</v>
      </c>
      <c r="C1240" s="7" t="str">
        <f>VLOOKUP(B1240,Indice!$B$1:$C$22,2,0)</f>
        <v>ALERTAS</v>
      </c>
      <c r="D1240" s="7" t="str">
        <f>$A1240&amp;"-"&amp;$C1240&amp;"-"&amp;TEXT(COUNTIFS($A$2:$A1240,$A1240,$C$2:$C1240,$C1240),"000")</f>
        <v>F3-ALERTAS-301</v>
      </c>
      <c r="E1240" s="7" t="s">
        <v>1308</v>
      </c>
      <c r="F1240" s="7" t="s">
        <v>1008</v>
      </c>
      <c r="G1240" s="7" t="s">
        <v>4</v>
      </c>
    </row>
    <row r="1241" spans="1:7">
      <c r="A1241" s="7" t="s">
        <v>1006</v>
      </c>
      <c r="B1241" s="7" t="s">
        <v>36</v>
      </c>
      <c r="C1241" s="7" t="str">
        <f>VLOOKUP(B1241,Indice!$B$1:$C$22,2,0)</f>
        <v>ALERTAS</v>
      </c>
      <c r="D1241" s="7" t="str">
        <f>$A1241&amp;"-"&amp;$C1241&amp;"-"&amp;TEXT(COUNTIFS($A$2:$A1241,$A1241,$C$2:$C1241,$C1241),"000")</f>
        <v>F3-ALERTAS-302</v>
      </c>
      <c r="E1241" s="7" t="s">
        <v>1309</v>
      </c>
      <c r="F1241" s="7" t="s">
        <v>1008</v>
      </c>
      <c r="G1241" s="7" t="s">
        <v>4</v>
      </c>
    </row>
    <row r="1242" spans="1:7">
      <c r="A1242" s="7" t="s">
        <v>1006</v>
      </c>
      <c r="B1242" s="7" t="s">
        <v>36</v>
      </c>
      <c r="C1242" s="7" t="str">
        <f>VLOOKUP(B1242,Indice!$B$1:$C$22,2,0)</f>
        <v>ALERTAS</v>
      </c>
      <c r="D1242" s="7" t="str">
        <f>$A1242&amp;"-"&amp;$C1242&amp;"-"&amp;TEXT(COUNTIFS($A$2:$A1242,$A1242,$C$2:$C1242,$C1242),"000")</f>
        <v>F3-ALERTAS-303</v>
      </c>
      <c r="E1242" s="7" t="s">
        <v>1310</v>
      </c>
      <c r="F1242" s="7" t="s">
        <v>1008</v>
      </c>
      <c r="G1242" s="7" t="s">
        <v>4</v>
      </c>
    </row>
    <row r="1243" spans="1:7">
      <c r="A1243" s="7" t="s">
        <v>1006</v>
      </c>
      <c r="B1243" s="7" t="s">
        <v>36</v>
      </c>
      <c r="C1243" s="7" t="str">
        <f>VLOOKUP(B1243,Indice!$B$1:$C$22,2,0)</f>
        <v>ALERTAS</v>
      </c>
      <c r="D1243" s="7" t="str">
        <f>$A1243&amp;"-"&amp;$C1243&amp;"-"&amp;TEXT(COUNTIFS($A$2:$A1243,$A1243,$C$2:$C1243,$C1243),"000")</f>
        <v>F3-ALERTAS-304</v>
      </c>
      <c r="E1243" s="7" t="s">
        <v>1311</v>
      </c>
      <c r="F1243" s="7" t="s">
        <v>1008</v>
      </c>
      <c r="G1243" s="7" t="s">
        <v>4</v>
      </c>
    </row>
    <row r="1244" spans="1:7">
      <c r="A1244" s="7" t="s">
        <v>1006</v>
      </c>
      <c r="B1244" s="7" t="s">
        <v>36</v>
      </c>
      <c r="C1244" s="7" t="str">
        <f>VLOOKUP(B1244,Indice!$B$1:$C$22,2,0)</f>
        <v>ALERTAS</v>
      </c>
      <c r="D1244" s="7" t="str">
        <f>$A1244&amp;"-"&amp;$C1244&amp;"-"&amp;TEXT(COUNTIFS($A$2:$A1244,$A1244,$C$2:$C1244,$C1244),"000")</f>
        <v>F3-ALERTAS-305</v>
      </c>
      <c r="E1244" s="7" t="s">
        <v>1312</v>
      </c>
      <c r="F1244" s="7" t="s">
        <v>1008</v>
      </c>
      <c r="G1244" s="7" t="s">
        <v>4</v>
      </c>
    </row>
    <row r="1245" spans="1:7">
      <c r="A1245" s="7" t="s">
        <v>1006</v>
      </c>
      <c r="B1245" s="7" t="s">
        <v>36</v>
      </c>
      <c r="C1245" s="7" t="str">
        <f>VLOOKUP(B1245,Indice!$B$1:$C$22,2,0)</f>
        <v>ALERTAS</v>
      </c>
      <c r="D1245" s="7" t="str">
        <f>$A1245&amp;"-"&amp;$C1245&amp;"-"&amp;TEXT(COUNTIFS($A$2:$A1245,$A1245,$C$2:$C1245,$C1245),"000")</f>
        <v>F3-ALERTAS-306</v>
      </c>
      <c r="E1245" s="7" t="s">
        <v>1313</v>
      </c>
      <c r="F1245" s="7" t="s">
        <v>1008</v>
      </c>
      <c r="G1245" s="7" t="s">
        <v>4</v>
      </c>
    </row>
    <row r="1246" spans="1:7">
      <c r="A1246" s="7" t="s">
        <v>1006</v>
      </c>
      <c r="B1246" s="7" t="s">
        <v>36</v>
      </c>
      <c r="C1246" s="7" t="str">
        <f>VLOOKUP(B1246,Indice!$B$1:$C$22,2,0)</f>
        <v>ALERTAS</v>
      </c>
      <c r="D1246" s="7" t="str">
        <f>$A1246&amp;"-"&amp;$C1246&amp;"-"&amp;TEXT(COUNTIFS($A$2:$A1246,$A1246,$C$2:$C1246,$C1246),"000")</f>
        <v>F3-ALERTAS-307</v>
      </c>
      <c r="E1246" s="7" t="s">
        <v>1314</v>
      </c>
      <c r="F1246" s="7" t="s">
        <v>1008</v>
      </c>
      <c r="G1246" s="7" t="s">
        <v>4</v>
      </c>
    </row>
    <row r="1247" spans="1:7">
      <c r="A1247" s="7" t="s">
        <v>1006</v>
      </c>
      <c r="B1247" s="7" t="s">
        <v>36</v>
      </c>
      <c r="C1247" s="7" t="str">
        <f>VLOOKUP(B1247,Indice!$B$1:$C$22,2,0)</f>
        <v>ALERTAS</v>
      </c>
      <c r="D1247" s="7" t="str">
        <f>$A1247&amp;"-"&amp;$C1247&amp;"-"&amp;TEXT(COUNTIFS($A$2:$A1247,$A1247,$C$2:$C1247,$C1247),"000")</f>
        <v>F3-ALERTAS-308</v>
      </c>
      <c r="E1247" s="7" t="s">
        <v>1315</v>
      </c>
      <c r="F1247" s="7" t="s">
        <v>1008</v>
      </c>
      <c r="G1247" s="7" t="s">
        <v>4</v>
      </c>
    </row>
    <row r="1248" spans="1:7">
      <c r="A1248" s="7" t="s">
        <v>1006</v>
      </c>
      <c r="B1248" s="7" t="s">
        <v>36</v>
      </c>
      <c r="C1248" s="7" t="str">
        <f>VLOOKUP(B1248,Indice!$B$1:$C$22,2,0)</f>
        <v>ALERTAS</v>
      </c>
      <c r="D1248" s="7" t="str">
        <f>$A1248&amp;"-"&amp;$C1248&amp;"-"&amp;TEXT(COUNTIFS($A$2:$A1248,$A1248,$C$2:$C1248,$C1248),"000")</f>
        <v>F3-ALERTAS-309</v>
      </c>
      <c r="E1248" s="7" t="s">
        <v>1316</v>
      </c>
      <c r="F1248" s="7" t="s">
        <v>1008</v>
      </c>
      <c r="G1248" s="7" t="s">
        <v>4</v>
      </c>
    </row>
    <row r="1249" spans="1:7">
      <c r="A1249" s="7" t="s">
        <v>1006</v>
      </c>
      <c r="B1249" s="7" t="s">
        <v>36</v>
      </c>
      <c r="C1249" s="7" t="str">
        <f>VLOOKUP(B1249,Indice!$B$1:$C$22,2,0)</f>
        <v>ALERTAS</v>
      </c>
      <c r="D1249" s="7" t="str">
        <f>$A1249&amp;"-"&amp;$C1249&amp;"-"&amp;TEXT(COUNTIFS($A$2:$A1249,$A1249,$C$2:$C1249,$C1249),"000")</f>
        <v>F3-ALERTAS-310</v>
      </c>
      <c r="E1249" s="7" t="s">
        <v>1317</v>
      </c>
      <c r="F1249" s="7" t="s">
        <v>1008</v>
      </c>
      <c r="G1249" s="7" t="s">
        <v>4</v>
      </c>
    </row>
    <row r="1250" spans="1:7">
      <c r="A1250" s="7" t="s">
        <v>1006</v>
      </c>
      <c r="B1250" s="7" t="s">
        <v>36</v>
      </c>
      <c r="C1250" s="7" t="str">
        <f>VLOOKUP(B1250,Indice!$B$1:$C$22,2,0)</f>
        <v>ALERTAS</v>
      </c>
      <c r="D1250" s="7" t="str">
        <f>$A1250&amp;"-"&amp;$C1250&amp;"-"&amp;TEXT(COUNTIFS($A$2:$A1250,$A1250,$C$2:$C1250,$C1250),"000")</f>
        <v>F3-ALERTAS-311</v>
      </c>
      <c r="E1250" s="7" t="s">
        <v>1318</v>
      </c>
      <c r="F1250" s="7" t="s">
        <v>1008</v>
      </c>
      <c r="G1250" s="7" t="s">
        <v>4</v>
      </c>
    </row>
    <row r="1251" spans="1:7">
      <c r="A1251" s="7" t="s">
        <v>1006</v>
      </c>
      <c r="B1251" s="7" t="s">
        <v>36</v>
      </c>
      <c r="C1251" s="7" t="str">
        <f>VLOOKUP(B1251,Indice!$B$1:$C$22,2,0)</f>
        <v>ALERTAS</v>
      </c>
      <c r="D1251" s="7" t="str">
        <f>$A1251&amp;"-"&amp;$C1251&amp;"-"&amp;TEXT(COUNTIFS($A$2:$A1251,$A1251,$C$2:$C1251,$C1251),"000")</f>
        <v>F3-ALERTAS-312</v>
      </c>
      <c r="E1251" s="7" t="s">
        <v>1319</v>
      </c>
      <c r="F1251" s="7" t="s">
        <v>1008</v>
      </c>
      <c r="G1251" s="7" t="s">
        <v>4</v>
      </c>
    </row>
    <row r="1252" spans="1:7">
      <c r="A1252" s="7" t="s">
        <v>1006</v>
      </c>
      <c r="B1252" s="7" t="s">
        <v>36</v>
      </c>
      <c r="C1252" s="7" t="str">
        <f>VLOOKUP(B1252,Indice!$B$1:$C$22,2,0)</f>
        <v>ALERTAS</v>
      </c>
      <c r="D1252" s="7" t="str">
        <f>$A1252&amp;"-"&amp;$C1252&amp;"-"&amp;TEXT(COUNTIFS($A$2:$A1252,$A1252,$C$2:$C1252,$C1252),"000")</f>
        <v>F3-ALERTAS-313</v>
      </c>
      <c r="E1252" s="7" t="s">
        <v>1320</v>
      </c>
      <c r="F1252" s="7" t="s">
        <v>1008</v>
      </c>
      <c r="G1252" s="7" t="s">
        <v>4</v>
      </c>
    </row>
    <row r="1253" spans="1:7">
      <c r="A1253" s="7" t="s">
        <v>1006</v>
      </c>
      <c r="B1253" s="7" t="s">
        <v>36</v>
      </c>
      <c r="C1253" s="7" t="str">
        <f>VLOOKUP(B1253,Indice!$B$1:$C$22,2,0)</f>
        <v>ALERTAS</v>
      </c>
      <c r="D1253" s="7" t="str">
        <f>$A1253&amp;"-"&amp;$C1253&amp;"-"&amp;TEXT(COUNTIFS($A$2:$A1253,$A1253,$C$2:$C1253,$C1253),"000")</f>
        <v>F3-ALERTAS-314</v>
      </c>
      <c r="E1253" s="7" t="s">
        <v>1321</v>
      </c>
      <c r="F1253" s="7" t="s">
        <v>1008</v>
      </c>
      <c r="G1253" s="7" t="s">
        <v>4</v>
      </c>
    </row>
    <row r="1254" spans="1:7">
      <c r="A1254" s="7" t="s">
        <v>1006</v>
      </c>
      <c r="B1254" s="7" t="s">
        <v>36</v>
      </c>
      <c r="C1254" s="7" t="str">
        <f>VLOOKUP(B1254,Indice!$B$1:$C$22,2,0)</f>
        <v>ALERTAS</v>
      </c>
      <c r="D1254" s="7" t="str">
        <f>$A1254&amp;"-"&amp;$C1254&amp;"-"&amp;TEXT(COUNTIFS($A$2:$A1254,$A1254,$C$2:$C1254,$C1254),"000")</f>
        <v>F3-ALERTAS-315</v>
      </c>
      <c r="E1254" s="7" t="s">
        <v>1322</v>
      </c>
      <c r="F1254" s="7" t="s">
        <v>1008</v>
      </c>
      <c r="G1254" s="7" t="s">
        <v>4</v>
      </c>
    </row>
    <row r="1255" spans="1:7">
      <c r="A1255" s="7" t="s">
        <v>1006</v>
      </c>
      <c r="B1255" s="7" t="s">
        <v>36</v>
      </c>
      <c r="C1255" s="7" t="str">
        <f>VLOOKUP(B1255,Indice!$B$1:$C$22,2,0)</f>
        <v>ALERTAS</v>
      </c>
      <c r="D1255" s="7" t="str">
        <f>$A1255&amp;"-"&amp;$C1255&amp;"-"&amp;TEXT(COUNTIFS($A$2:$A1255,$A1255,$C$2:$C1255,$C1255),"000")</f>
        <v>F3-ALERTAS-316</v>
      </c>
      <c r="E1255" s="7" t="s">
        <v>1323</v>
      </c>
      <c r="F1255" s="7" t="s">
        <v>1008</v>
      </c>
      <c r="G1255" s="7" t="s">
        <v>4</v>
      </c>
    </row>
    <row r="1256" spans="1:7">
      <c r="A1256" s="7" t="s">
        <v>1006</v>
      </c>
      <c r="B1256" s="7" t="s">
        <v>36</v>
      </c>
      <c r="C1256" s="7" t="str">
        <f>VLOOKUP(B1256,Indice!$B$1:$C$22,2,0)</f>
        <v>ALERTAS</v>
      </c>
      <c r="D1256" s="7" t="str">
        <f>$A1256&amp;"-"&amp;$C1256&amp;"-"&amp;TEXT(COUNTIFS($A$2:$A1256,$A1256,$C$2:$C1256,$C1256),"000")</f>
        <v>F3-ALERTAS-317</v>
      </c>
      <c r="E1256" s="7" t="s">
        <v>1324</v>
      </c>
      <c r="F1256" s="7" t="s">
        <v>1008</v>
      </c>
      <c r="G1256" s="7" t="s">
        <v>4</v>
      </c>
    </row>
    <row r="1257" spans="1:7">
      <c r="A1257" s="7" t="s">
        <v>1006</v>
      </c>
      <c r="B1257" s="7" t="s">
        <v>36</v>
      </c>
      <c r="C1257" s="7" t="str">
        <f>VLOOKUP(B1257,Indice!$B$1:$C$22,2,0)</f>
        <v>ALERTAS</v>
      </c>
      <c r="D1257" s="7" t="str">
        <f>$A1257&amp;"-"&amp;$C1257&amp;"-"&amp;TEXT(COUNTIFS($A$2:$A1257,$A1257,$C$2:$C1257,$C1257),"000")</f>
        <v>F3-ALERTAS-318</v>
      </c>
      <c r="E1257" s="7" t="s">
        <v>1325</v>
      </c>
      <c r="F1257" s="7" t="s">
        <v>1008</v>
      </c>
      <c r="G1257" s="7" t="s">
        <v>4</v>
      </c>
    </row>
    <row r="1258" spans="1:7">
      <c r="A1258" s="7" t="s">
        <v>1006</v>
      </c>
      <c r="B1258" s="7" t="s">
        <v>36</v>
      </c>
      <c r="C1258" s="7" t="str">
        <f>VLOOKUP(B1258,Indice!$B$1:$C$22,2,0)</f>
        <v>ALERTAS</v>
      </c>
      <c r="D1258" s="7" t="str">
        <f>$A1258&amp;"-"&amp;$C1258&amp;"-"&amp;TEXT(COUNTIFS($A$2:$A1258,$A1258,$C$2:$C1258,$C1258),"000")</f>
        <v>F3-ALERTAS-319</v>
      </c>
      <c r="E1258" s="7" t="s">
        <v>1326</v>
      </c>
      <c r="F1258" s="7" t="s">
        <v>1008</v>
      </c>
      <c r="G1258" s="7" t="s">
        <v>4</v>
      </c>
    </row>
    <row r="1259" spans="1:7">
      <c r="A1259" s="7" t="s">
        <v>1006</v>
      </c>
      <c r="B1259" s="7" t="s">
        <v>36</v>
      </c>
      <c r="C1259" s="7" t="str">
        <f>VLOOKUP(B1259,Indice!$B$1:$C$22,2,0)</f>
        <v>ALERTAS</v>
      </c>
      <c r="D1259" s="7" t="str">
        <f>$A1259&amp;"-"&amp;$C1259&amp;"-"&amp;TEXT(COUNTIFS($A$2:$A1259,$A1259,$C$2:$C1259,$C1259),"000")</f>
        <v>F3-ALERTAS-320</v>
      </c>
      <c r="E1259" s="7" t="s">
        <v>1327</v>
      </c>
      <c r="F1259" s="7" t="s">
        <v>1008</v>
      </c>
      <c r="G1259" s="7" t="s">
        <v>4</v>
      </c>
    </row>
    <row r="1260" spans="1:7">
      <c r="A1260" s="7" t="s">
        <v>1006</v>
      </c>
      <c r="B1260" s="7" t="s">
        <v>36</v>
      </c>
      <c r="C1260" s="7" t="str">
        <f>VLOOKUP(B1260,Indice!$B$1:$C$22,2,0)</f>
        <v>ALERTAS</v>
      </c>
      <c r="D1260" s="7" t="str">
        <f>$A1260&amp;"-"&amp;$C1260&amp;"-"&amp;TEXT(COUNTIFS($A$2:$A1260,$A1260,$C$2:$C1260,$C1260),"000")</f>
        <v>F3-ALERTAS-321</v>
      </c>
      <c r="E1260" s="7" t="s">
        <v>1328</v>
      </c>
      <c r="F1260" s="7" t="s">
        <v>1008</v>
      </c>
      <c r="G1260" s="7" t="s">
        <v>4</v>
      </c>
    </row>
    <row r="1261" spans="1:7">
      <c r="A1261" s="7" t="s">
        <v>1006</v>
      </c>
      <c r="B1261" s="7" t="s">
        <v>36</v>
      </c>
      <c r="C1261" s="7" t="str">
        <f>VLOOKUP(B1261,Indice!$B$1:$C$22,2,0)</f>
        <v>ALERTAS</v>
      </c>
      <c r="D1261" s="7" t="str">
        <f>$A1261&amp;"-"&amp;$C1261&amp;"-"&amp;TEXT(COUNTIFS($A$2:$A1261,$A1261,$C$2:$C1261,$C1261),"000")</f>
        <v>F3-ALERTAS-322</v>
      </c>
      <c r="E1261" s="7" t="s">
        <v>1329</v>
      </c>
      <c r="F1261" s="7" t="s">
        <v>1008</v>
      </c>
      <c r="G1261" s="7" t="s">
        <v>4</v>
      </c>
    </row>
    <row r="1262" spans="1:7">
      <c r="A1262" s="7" t="s">
        <v>1006</v>
      </c>
      <c r="B1262" s="7" t="s">
        <v>36</v>
      </c>
      <c r="C1262" s="7" t="str">
        <f>VLOOKUP(B1262,Indice!$B$1:$C$22,2,0)</f>
        <v>ALERTAS</v>
      </c>
      <c r="D1262" s="7" t="str">
        <f>$A1262&amp;"-"&amp;$C1262&amp;"-"&amp;TEXT(COUNTIFS($A$2:$A1262,$A1262,$C$2:$C1262,$C1262),"000")</f>
        <v>F3-ALERTAS-323</v>
      </c>
      <c r="E1262" s="7" t="s">
        <v>1330</v>
      </c>
      <c r="F1262" s="7" t="s">
        <v>1008</v>
      </c>
      <c r="G1262" s="7" t="s">
        <v>4</v>
      </c>
    </row>
    <row r="1263" spans="1:7">
      <c r="A1263" s="7" t="s">
        <v>1006</v>
      </c>
      <c r="B1263" s="7" t="s">
        <v>36</v>
      </c>
      <c r="C1263" s="7" t="str">
        <f>VLOOKUP(B1263,Indice!$B$1:$C$22,2,0)</f>
        <v>ALERTAS</v>
      </c>
      <c r="D1263" s="7" t="str">
        <f>$A1263&amp;"-"&amp;$C1263&amp;"-"&amp;TEXT(COUNTIFS($A$2:$A1263,$A1263,$C$2:$C1263,$C1263),"000")</f>
        <v>F3-ALERTAS-324</v>
      </c>
      <c r="E1263" s="7" t="s">
        <v>1331</v>
      </c>
      <c r="F1263" s="7" t="s">
        <v>1008</v>
      </c>
      <c r="G1263" s="7" t="s">
        <v>4</v>
      </c>
    </row>
    <row r="1264" spans="1:7">
      <c r="A1264" s="7" t="s">
        <v>1006</v>
      </c>
      <c r="B1264" s="7" t="s">
        <v>36</v>
      </c>
      <c r="C1264" s="7" t="str">
        <f>VLOOKUP(B1264,Indice!$B$1:$C$22,2,0)</f>
        <v>ALERTAS</v>
      </c>
      <c r="D1264" s="7" t="str">
        <f>$A1264&amp;"-"&amp;$C1264&amp;"-"&amp;TEXT(COUNTIFS($A$2:$A1264,$A1264,$C$2:$C1264,$C1264),"000")</f>
        <v>F3-ALERTAS-325</v>
      </c>
      <c r="E1264" s="7" t="s">
        <v>1332</v>
      </c>
      <c r="F1264" s="7" t="s">
        <v>1008</v>
      </c>
      <c r="G1264" s="7" t="s">
        <v>4</v>
      </c>
    </row>
    <row r="1265" spans="1:7">
      <c r="A1265" s="7" t="s">
        <v>1006</v>
      </c>
      <c r="B1265" s="7" t="s">
        <v>36</v>
      </c>
      <c r="C1265" s="7" t="str">
        <f>VLOOKUP(B1265,Indice!$B$1:$C$22,2,0)</f>
        <v>ALERTAS</v>
      </c>
      <c r="D1265" s="7" t="str">
        <f>$A1265&amp;"-"&amp;$C1265&amp;"-"&amp;TEXT(COUNTIFS($A$2:$A1265,$A1265,$C$2:$C1265,$C1265),"000")</f>
        <v>F3-ALERTAS-326</v>
      </c>
      <c r="E1265" s="7" t="s">
        <v>1333</v>
      </c>
      <c r="F1265" s="7" t="s">
        <v>1008</v>
      </c>
      <c r="G1265" s="7" t="s">
        <v>4</v>
      </c>
    </row>
    <row r="1266" spans="1:7">
      <c r="A1266" s="7" t="s">
        <v>1006</v>
      </c>
      <c r="B1266" s="7" t="s">
        <v>36</v>
      </c>
      <c r="C1266" s="7" t="str">
        <f>VLOOKUP(B1266,Indice!$B$1:$C$22,2,0)</f>
        <v>ALERTAS</v>
      </c>
      <c r="D1266" s="7" t="str">
        <f>$A1266&amp;"-"&amp;$C1266&amp;"-"&amp;TEXT(COUNTIFS($A$2:$A1266,$A1266,$C$2:$C1266,$C1266),"000")</f>
        <v>F3-ALERTAS-327</v>
      </c>
      <c r="E1266" s="7" t="s">
        <v>1334</v>
      </c>
      <c r="F1266" s="7" t="s">
        <v>1008</v>
      </c>
      <c r="G1266" s="7" t="s">
        <v>4</v>
      </c>
    </row>
    <row r="1267" spans="1:7">
      <c r="A1267" s="7" t="s">
        <v>1006</v>
      </c>
      <c r="B1267" s="7" t="s">
        <v>36</v>
      </c>
      <c r="C1267" s="7" t="str">
        <f>VLOOKUP(B1267,Indice!$B$1:$C$22,2,0)</f>
        <v>ALERTAS</v>
      </c>
      <c r="D1267" s="7" t="str">
        <f>$A1267&amp;"-"&amp;$C1267&amp;"-"&amp;TEXT(COUNTIFS($A$2:$A1267,$A1267,$C$2:$C1267,$C1267),"000")</f>
        <v>F3-ALERTAS-328</v>
      </c>
      <c r="E1267" s="7" t="s">
        <v>1335</v>
      </c>
      <c r="F1267" s="7" t="s">
        <v>1008</v>
      </c>
      <c r="G1267" s="7" t="s">
        <v>4</v>
      </c>
    </row>
    <row r="1268" spans="1:7">
      <c r="A1268" s="7" t="s">
        <v>1006</v>
      </c>
      <c r="B1268" s="7" t="s">
        <v>36</v>
      </c>
      <c r="C1268" s="7" t="str">
        <f>VLOOKUP(B1268,Indice!$B$1:$C$22,2,0)</f>
        <v>ALERTAS</v>
      </c>
      <c r="D1268" s="7" t="str">
        <f>$A1268&amp;"-"&amp;$C1268&amp;"-"&amp;TEXT(COUNTIFS($A$2:$A1268,$A1268,$C$2:$C1268,$C1268),"000")</f>
        <v>F3-ALERTAS-329</v>
      </c>
      <c r="E1268" s="7" t="s">
        <v>1336</v>
      </c>
      <c r="F1268" s="7" t="s">
        <v>1008</v>
      </c>
      <c r="G1268" s="7" t="s">
        <v>4</v>
      </c>
    </row>
    <row r="1269" spans="1:7">
      <c r="A1269" s="7" t="s">
        <v>1006</v>
      </c>
      <c r="B1269" s="7" t="s">
        <v>36</v>
      </c>
      <c r="C1269" s="7" t="str">
        <f>VLOOKUP(B1269,Indice!$B$1:$C$22,2,0)</f>
        <v>ALERTAS</v>
      </c>
      <c r="D1269" s="7" t="str">
        <f>$A1269&amp;"-"&amp;$C1269&amp;"-"&amp;TEXT(COUNTIFS($A$2:$A1269,$A1269,$C$2:$C1269,$C1269),"000")</f>
        <v>F3-ALERTAS-330</v>
      </c>
      <c r="E1269" s="7" t="s">
        <v>1337</v>
      </c>
      <c r="F1269" s="7" t="s">
        <v>1008</v>
      </c>
      <c r="G1269" s="7" t="s">
        <v>4</v>
      </c>
    </row>
    <row r="1270" spans="1:7">
      <c r="A1270" s="7" t="s">
        <v>1006</v>
      </c>
      <c r="B1270" s="7" t="s">
        <v>36</v>
      </c>
      <c r="C1270" s="7" t="str">
        <f>VLOOKUP(B1270,Indice!$B$1:$C$22,2,0)</f>
        <v>ALERTAS</v>
      </c>
      <c r="D1270" s="7" t="str">
        <f>$A1270&amp;"-"&amp;$C1270&amp;"-"&amp;TEXT(COUNTIFS($A$2:$A1270,$A1270,$C$2:$C1270,$C1270),"000")</f>
        <v>F3-ALERTAS-331</v>
      </c>
      <c r="E1270" s="7" t="s">
        <v>1338</v>
      </c>
      <c r="F1270" s="7" t="s">
        <v>1008</v>
      </c>
      <c r="G1270" s="7" t="s">
        <v>4</v>
      </c>
    </row>
    <row r="1271" spans="1:7">
      <c r="A1271" s="7" t="s">
        <v>1006</v>
      </c>
      <c r="B1271" s="7" t="s">
        <v>36</v>
      </c>
      <c r="C1271" s="7" t="str">
        <f>VLOOKUP(B1271,Indice!$B$1:$C$22,2,0)</f>
        <v>ALERTAS</v>
      </c>
      <c r="D1271" s="7" t="str">
        <f>$A1271&amp;"-"&amp;$C1271&amp;"-"&amp;TEXT(COUNTIFS($A$2:$A1271,$A1271,$C$2:$C1271,$C1271),"000")</f>
        <v>F3-ALERTAS-332</v>
      </c>
      <c r="E1271" s="7" t="s">
        <v>1339</v>
      </c>
      <c r="F1271" s="7" t="s">
        <v>1008</v>
      </c>
      <c r="G1271" s="7" t="s">
        <v>4</v>
      </c>
    </row>
    <row r="1272" spans="1:7">
      <c r="A1272" s="7" t="s">
        <v>1006</v>
      </c>
      <c r="B1272" s="7" t="s">
        <v>36</v>
      </c>
      <c r="C1272" s="7" t="str">
        <f>VLOOKUP(B1272,Indice!$B$1:$C$22,2,0)</f>
        <v>ALERTAS</v>
      </c>
      <c r="D1272" s="7" t="str">
        <f>$A1272&amp;"-"&amp;$C1272&amp;"-"&amp;TEXT(COUNTIFS($A$2:$A1272,$A1272,$C$2:$C1272,$C1272),"000")</f>
        <v>F3-ALERTAS-333</v>
      </c>
      <c r="E1272" s="7" t="s">
        <v>1340</v>
      </c>
      <c r="F1272" s="7" t="s">
        <v>1008</v>
      </c>
      <c r="G1272" s="7" t="s">
        <v>4</v>
      </c>
    </row>
    <row r="1273" spans="1:7">
      <c r="A1273" s="7" t="s">
        <v>1006</v>
      </c>
      <c r="B1273" s="7" t="s">
        <v>36</v>
      </c>
      <c r="C1273" s="7" t="str">
        <f>VLOOKUP(B1273,Indice!$B$1:$C$22,2,0)</f>
        <v>ALERTAS</v>
      </c>
      <c r="D1273" s="7" t="str">
        <f>$A1273&amp;"-"&amp;$C1273&amp;"-"&amp;TEXT(COUNTIFS($A$2:$A1273,$A1273,$C$2:$C1273,$C1273),"000")</f>
        <v>F3-ALERTAS-334</v>
      </c>
      <c r="E1273" s="7" t="s">
        <v>1341</v>
      </c>
      <c r="F1273" s="7" t="s">
        <v>1008</v>
      </c>
      <c r="G1273" s="7" t="s">
        <v>4</v>
      </c>
    </row>
    <row r="1274" spans="1:7">
      <c r="A1274" s="7" t="s">
        <v>1006</v>
      </c>
      <c r="B1274" s="7" t="s">
        <v>36</v>
      </c>
      <c r="C1274" s="7" t="str">
        <f>VLOOKUP(B1274,Indice!$B$1:$C$22,2,0)</f>
        <v>ALERTAS</v>
      </c>
      <c r="D1274" s="7" t="str">
        <f>$A1274&amp;"-"&amp;$C1274&amp;"-"&amp;TEXT(COUNTIFS($A$2:$A1274,$A1274,$C$2:$C1274,$C1274),"000")</f>
        <v>F3-ALERTAS-335</v>
      </c>
      <c r="E1274" s="7" t="s">
        <v>1342</v>
      </c>
      <c r="F1274" s="7" t="s">
        <v>1008</v>
      </c>
      <c r="G1274" s="7" t="s">
        <v>4</v>
      </c>
    </row>
    <row r="1275" spans="1:7">
      <c r="A1275" s="7" t="s">
        <v>1006</v>
      </c>
      <c r="B1275" s="7" t="s">
        <v>36</v>
      </c>
      <c r="C1275" s="7" t="str">
        <f>VLOOKUP(B1275,Indice!$B$1:$C$22,2,0)</f>
        <v>ALERTAS</v>
      </c>
      <c r="D1275" s="7" t="str">
        <f>$A1275&amp;"-"&amp;$C1275&amp;"-"&amp;TEXT(COUNTIFS($A$2:$A1275,$A1275,$C$2:$C1275,$C1275),"000")</f>
        <v>F3-ALERTAS-336</v>
      </c>
      <c r="E1275" s="7" t="s">
        <v>1343</v>
      </c>
      <c r="F1275" s="7" t="s">
        <v>1008</v>
      </c>
      <c r="G1275" s="7" t="s">
        <v>4</v>
      </c>
    </row>
    <row r="1276" spans="1:7">
      <c r="A1276" s="7" t="s">
        <v>1006</v>
      </c>
      <c r="B1276" s="7" t="s">
        <v>36</v>
      </c>
      <c r="C1276" s="7" t="str">
        <f>VLOOKUP(B1276,Indice!$B$1:$C$22,2,0)</f>
        <v>ALERTAS</v>
      </c>
      <c r="D1276" s="7" t="str">
        <f>$A1276&amp;"-"&amp;$C1276&amp;"-"&amp;TEXT(COUNTIFS($A$2:$A1276,$A1276,$C$2:$C1276,$C1276),"000")</f>
        <v>F3-ALERTAS-337</v>
      </c>
      <c r="E1276" s="7" t="s">
        <v>1344</v>
      </c>
      <c r="F1276" s="7" t="s">
        <v>1008</v>
      </c>
      <c r="G1276" s="7" t="s">
        <v>4</v>
      </c>
    </row>
    <row r="1277" spans="1:7">
      <c r="A1277" s="7" t="s">
        <v>1006</v>
      </c>
      <c r="B1277" s="7" t="s">
        <v>36</v>
      </c>
      <c r="C1277" s="7" t="str">
        <f>VLOOKUP(B1277,Indice!$B$1:$C$22,2,0)</f>
        <v>ALERTAS</v>
      </c>
      <c r="D1277" s="7" t="str">
        <f>$A1277&amp;"-"&amp;$C1277&amp;"-"&amp;TEXT(COUNTIFS($A$2:$A1277,$A1277,$C$2:$C1277,$C1277),"000")</f>
        <v>F3-ALERTAS-338</v>
      </c>
      <c r="E1277" s="7" t="s">
        <v>1345</v>
      </c>
      <c r="F1277" s="7" t="s">
        <v>1008</v>
      </c>
      <c r="G1277" s="7" t="s">
        <v>4</v>
      </c>
    </row>
    <row r="1278" spans="1:7">
      <c r="A1278" s="7" t="s">
        <v>1006</v>
      </c>
      <c r="B1278" s="7" t="s">
        <v>36</v>
      </c>
      <c r="C1278" s="7" t="str">
        <f>VLOOKUP(B1278,Indice!$B$1:$C$22,2,0)</f>
        <v>ALERTAS</v>
      </c>
      <c r="D1278" s="7" t="str">
        <f>$A1278&amp;"-"&amp;$C1278&amp;"-"&amp;TEXT(COUNTIFS($A$2:$A1278,$A1278,$C$2:$C1278,$C1278),"000")</f>
        <v>F3-ALERTAS-339</v>
      </c>
      <c r="E1278" s="7" t="s">
        <v>1346</v>
      </c>
      <c r="F1278" s="7" t="s">
        <v>1008</v>
      </c>
      <c r="G1278" s="7" t="s">
        <v>4</v>
      </c>
    </row>
    <row r="1279" spans="1:7">
      <c r="A1279" s="7" t="s">
        <v>1006</v>
      </c>
      <c r="B1279" s="7" t="s">
        <v>36</v>
      </c>
      <c r="C1279" s="7" t="str">
        <f>VLOOKUP(B1279,Indice!$B$1:$C$22,2,0)</f>
        <v>ALERTAS</v>
      </c>
      <c r="D1279" s="7" t="str">
        <f>$A1279&amp;"-"&amp;$C1279&amp;"-"&amp;TEXT(COUNTIFS($A$2:$A1279,$A1279,$C$2:$C1279,$C1279),"000")</f>
        <v>F3-ALERTAS-340</v>
      </c>
      <c r="E1279" s="7" t="s">
        <v>1347</v>
      </c>
      <c r="F1279" s="7" t="s">
        <v>1008</v>
      </c>
      <c r="G1279" s="7" t="s">
        <v>4</v>
      </c>
    </row>
    <row r="1280" spans="1:7">
      <c r="A1280" s="7" t="s">
        <v>1006</v>
      </c>
      <c r="B1280" s="7" t="s">
        <v>36</v>
      </c>
      <c r="C1280" s="7" t="str">
        <f>VLOOKUP(B1280,Indice!$B$1:$C$22,2,0)</f>
        <v>ALERTAS</v>
      </c>
      <c r="D1280" s="7" t="str">
        <f>$A1280&amp;"-"&amp;$C1280&amp;"-"&amp;TEXT(COUNTIFS($A$2:$A1280,$A1280,$C$2:$C1280,$C1280),"000")</f>
        <v>F3-ALERTAS-341</v>
      </c>
      <c r="E1280" s="7" t="s">
        <v>1348</v>
      </c>
      <c r="F1280" s="7" t="s">
        <v>1008</v>
      </c>
      <c r="G1280" s="7" t="s">
        <v>4</v>
      </c>
    </row>
    <row r="1281" spans="1:7">
      <c r="A1281" s="7" t="s">
        <v>1006</v>
      </c>
      <c r="B1281" s="7" t="s">
        <v>36</v>
      </c>
      <c r="C1281" s="7" t="str">
        <f>VLOOKUP(B1281,Indice!$B$1:$C$22,2,0)</f>
        <v>ALERTAS</v>
      </c>
      <c r="D1281" s="7" t="str">
        <f>$A1281&amp;"-"&amp;$C1281&amp;"-"&amp;TEXT(COUNTIFS($A$2:$A1281,$A1281,$C$2:$C1281,$C1281),"000")</f>
        <v>F3-ALERTAS-342</v>
      </c>
      <c r="E1281" s="7" t="s">
        <v>1349</v>
      </c>
      <c r="F1281" s="7" t="s">
        <v>1008</v>
      </c>
      <c r="G1281" s="7" t="s">
        <v>4</v>
      </c>
    </row>
    <row r="1282" spans="1:7">
      <c r="A1282" s="7" t="s">
        <v>1006</v>
      </c>
      <c r="B1282" s="7" t="s">
        <v>36</v>
      </c>
      <c r="C1282" s="7" t="str">
        <f>VLOOKUP(B1282,Indice!$B$1:$C$22,2,0)</f>
        <v>ALERTAS</v>
      </c>
      <c r="D1282" s="7" t="str">
        <f>$A1282&amp;"-"&amp;$C1282&amp;"-"&amp;TEXT(COUNTIFS($A$2:$A1282,$A1282,$C$2:$C1282,$C1282),"000")</f>
        <v>F3-ALERTAS-343</v>
      </c>
      <c r="E1282" s="7" t="s">
        <v>1350</v>
      </c>
      <c r="F1282" s="7" t="s">
        <v>1008</v>
      </c>
      <c r="G1282" s="7" t="s">
        <v>4</v>
      </c>
    </row>
    <row r="1283" spans="1:7">
      <c r="A1283" s="7" t="s">
        <v>1006</v>
      </c>
      <c r="B1283" s="7" t="s">
        <v>36</v>
      </c>
      <c r="C1283" s="7" t="str">
        <f>VLOOKUP(B1283,Indice!$B$1:$C$22,2,0)</f>
        <v>ALERTAS</v>
      </c>
      <c r="D1283" s="7" t="str">
        <f>$A1283&amp;"-"&amp;$C1283&amp;"-"&amp;TEXT(COUNTIFS($A$2:$A1283,$A1283,$C$2:$C1283,$C1283),"000")</f>
        <v>F3-ALERTAS-344</v>
      </c>
      <c r="E1283" s="7" t="s">
        <v>1351</v>
      </c>
      <c r="F1283" s="7" t="s">
        <v>1008</v>
      </c>
      <c r="G1283" s="7" t="s">
        <v>4</v>
      </c>
    </row>
    <row r="1284" spans="1:7">
      <c r="A1284" s="7" t="s">
        <v>1006</v>
      </c>
      <c r="B1284" s="7" t="s">
        <v>36</v>
      </c>
      <c r="C1284" s="7" t="str">
        <f>VLOOKUP(B1284,Indice!$B$1:$C$22,2,0)</f>
        <v>ALERTAS</v>
      </c>
      <c r="D1284" s="7" t="str">
        <f>$A1284&amp;"-"&amp;$C1284&amp;"-"&amp;TEXT(COUNTIFS($A$2:$A1284,$A1284,$C$2:$C1284,$C1284),"000")</f>
        <v>F3-ALERTAS-345</v>
      </c>
      <c r="E1284" s="7" t="s">
        <v>1352</v>
      </c>
      <c r="F1284" s="7" t="s">
        <v>1008</v>
      </c>
      <c r="G1284" s="7" t="s">
        <v>4</v>
      </c>
    </row>
    <row r="1285" spans="1:7">
      <c r="A1285" s="7" t="s">
        <v>1006</v>
      </c>
      <c r="B1285" s="7" t="s">
        <v>36</v>
      </c>
      <c r="C1285" s="7" t="str">
        <f>VLOOKUP(B1285,Indice!$B$1:$C$22,2,0)</f>
        <v>ALERTAS</v>
      </c>
      <c r="D1285" s="7" t="str">
        <f>$A1285&amp;"-"&amp;$C1285&amp;"-"&amp;TEXT(COUNTIFS($A$2:$A1285,$A1285,$C$2:$C1285,$C1285),"000")</f>
        <v>F3-ALERTAS-346</v>
      </c>
      <c r="E1285" s="7" t="s">
        <v>1353</v>
      </c>
      <c r="F1285" s="7" t="s">
        <v>1008</v>
      </c>
      <c r="G1285" s="7" t="s">
        <v>4</v>
      </c>
    </row>
    <row r="1286" spans="1:7">
      <c r="A1286" s="7" t="s">
        <v>1006</v>
      </c>
      <c r="B1286" s="7" t="s">
        <v>36</v>
      </c>
      <c r="C1286" s="7" t="str">
        <f>VLOOKUP(B1286,Indice!$B$1:$C$22,2,0)</f>
        <v>ALERTAS</v>
      </c>
      <c r="D1286" s="7" t="str">
        <f>$A1286&amp;"-"&amp;$C1286&amp;"-"&amp;TEXT(COUNTIFS($A$2:$A1286,$A1286,$C$2:$C1286,$C1286),"000")</f>
        <v>F3-ALERTAS-347</v>
      </c>
      <c r="E1286" s="7" t="s">
        <v>1354</v>
      </c>
      <c r="F1286" s="7" t="s">
        <v>1008</v>
      </c>
      <c r="G1286" s="7" t="s">
        <v>4</v>
      </c>
    </row>
    <row r="1287" spans="1:7">
      <c r="A1287" s="7" t="s">
        <v>1006</v>
      </c>
      <c r="B1287" s="7" t="s">
        <v>36</v>
      </c>
      <c r="C1287" s="7" t="str">
        <f>VLOOKUP(B1287,Indice!$B$1:$C$22,2,0)</f>
        <v>ALERTAS</v>
      </c>
      <c r="D1287" s="7" t="str">
        <f>$A1287&amp;"-"&amp;$C1287&amp;"-"&amp;TEXT(COUNTIFS($A$2:$A1287,$A1287,$C$2:$C1287,$C1287),"000")</f>
        <v>F3-ALERTAS-348</v>
      </c>
      <c r="E1287" s="7" t="s">
        <v>1355</v>
      </c>
      <c r="F1287" s="7" t="s">
        <v>1008</v>
      </c>
      <c r="G1287" s="7" t="s">
        <v>4</v>
      </c>
    </row>
    <row r="1288" spans="1:7">
      <c r="A1288" s="7" t="s">
        <v>1006</v>
      </c>
      <c r="B1288" s="7" t="s">
        <v>36</v>
      </c>
      <c r="C1288" s="7" t="str">
        <f>VLOOKUP(B1288,Indice!$B$1:$C$22,2,0)</f>
        <v>ALERTAS</v>
      </c>
      <c r="D1288" s="7" t="str">
        <f>$A1288&amp;"-"&amp;$C1288&amp;"-"&amp;TEXT(COUNTIFS($A$2:$A1288,$A1288,$C$2:$C1288,$C1288),"000")</f>
        <v>F3-ALERTAS-349</v>
      </c>
      <c r="E1288" s="7" t="s">
        <v>1356</v>
      </c>
      <c r="F1288" s="7" t="s">
        <v>1008</v>
      </c>
      <c r="G1288" s="7" t="s">
        <v>4</v>
      </c>
    </row>
    <row r="1289" spans="1:7">
      <c r="A1289" s="7" t="s">
        <v>1006</v>
      </c>
      <c r="B1289" s="7" t="s">
        <v>36</v>
      </c>
      <c r="C1289" s="7" t="str">
        <f>VLOOKUP(B1289,Indice!$B$1:$C$22,2,0)</f>
        <v>ALERTAS</v>
      </c>
      <c r="D1289" s="7" t="str">
        <f>$A1289&amp;"-"&amp;$C1289&amp;"-"&amp;TEXT(COUNTIFS($A$2:$A1289,$A1289,$C$2:$C1289,$C1289),"000")</f>
        <v>F3-ALERTAS-350</v>
      </c>
      <c r="E1289" s="7" t="s">
        <v>1357</v>
      </c>
      <c r="F1289" s="7" t="s">
        <v>1008</v>
      </c>
      <c r="G1289" s="7" t="s">
        <v>4</v>
      </c>
    </row>
    <row r="1290" spans="1:7">
      <c r="A1290" s="7" t="s">
        <v>1006</v>
      </c>
      <c r="B1290" s="7" t="s">
        <v>36</v>
      </c>
      <c r="C1290" s="7" t="str">
        <f>VLOOKUP(B1290,Indice!$B$1:$C$22,2,0)</f>
        <v>ALERTAS</v>
      </c>
      <c r="D1290" s="7" t="str">
        <f>$A1290&amp;"-"&amp;$C1290&amp;"-"&amp;TEXT(COUNTIFS($A$2:$A1290,$A1290,$C$2:$C1290,$C1290),"000")</f>
        <v>F3-ALERTAS-351</v>
      </c>
      <c r="E1290" s="7" t="s">
        <v>1358</v>
      </c>
      <c r="F1290" s="7" t="s">
        <v>1008</v>
      </c>
      <c r="G1290" s="7" t="s">
        <v>4</v>
      </c>
    </row>
    <row r="1291" spans="1:7">
      <c r="A1291" s="7" t="s">
        <v>1006</v>
      </c>
      <c r="B1291" s="7" t="s">
        <v>36</v>
      </c>
      <c r="C1291" s="7" t="str">
        <f>VLOOKUP(B1291,Indice!$B$1:$C$22,2,0)</f>
        <v>ALERTAS</v>
      </c>
      <c r="D1291" s="7" t="str">
        <f>$A1291&amp;"-"&amp;$C1291&amp;"-"&amp;TEXT(COUNTIFS($A$2:$A1291,$A1291,$C$2:$C1291,$C1291),"000")</f>
        <v>F3-ALERTAS-352</v>
      </c>
      <c r="E1291" s="7" t="s">
        <v>1359</v>
      </c>
      <c r="F1291" s="7" t="s">
        <v>1008</v>
      </c>
      <c r="G1291" s="7" t="s">
        <v>4</v>
      </c>
    </row>
    <row r="1292" spans="1:7">
      <c r="A1292" s="7" t="s">
        <v>1006</v>
      </c>
      <c r="B1292" s="7" t="s">
        <v>36</v>
      </c>
      <c r="C1292" s="7" t="str">
        <f>VLOOKUP(B1292,Indice!$B$1:$C$22,2,0)</f>
        <v>ALERTAS</v>
      </c>
      <c r="D1292" s="7" t="str">
        <f>$A1292&amp;"-"&amp;$C1292&amp;"-"&amp;TEXT(COUNTIFS($A$2:$A1292,$A1292,$C$2:$C1292,$C1292),"000")</f>
        <v>F3-ALERTAS-353</v>
      </c>
      <c r="E1292" s="7" t="s">
        <v>1360</v>
      </c>
      <c r="F1292" s="7" t="s">
        <v>1008</v>
      </c>
      <c r="G1292" s="7" t="s">
        <v>4</v>
      </c>
    </row>
    <row r="1293" spans="1:7">
      <c r="A1293" s="7" t="s">
        <v>1006</v>
      </c>
      <c r="B1293" s="7" t="s">
        <v>36</v>
      </c>
      <c r="C1293" s="7" t="str">
        <f>VLOOKUP(B1293,Indice!$B$1:$C$22,2,0)</f>
        <v>ALERTAS</v>
      </c>
      <c r="D1293" s="7" t="str">
        <f>$A1293&amp;"-"&amp;$C1293&amp;"-"&amp;TEXT(COUNTIFS($A$2:$A1293,$A1293,$C$2:$C1293,$C1293),"000")</f>
        <v>F3-ALERTAS-354</v>
      </c>
      <c r="E1293" s="7" t="s">
        <v>1361</v>
      </c>
      <c r="F1293" s="7" t="s">
        <v>1008</v>
      </c>
      <c r="G1293" s="7" t="s">
        <v>4</v>
      </c>
    </row>
    <row r="1294" spans="1:7">
      <c r="A1294" s="7" t="s">
        <v>1006</v>
      </c>
      <c r="B1294" s="7" t="s">
        <v>36</v>
      </c>
      <c r="C1294" s="7" t="str">
        <f>VLOOKUP(B1294,Indice!$B$1:$C$22,2,0)</f>
        <v>ALERTAS</v>
      </c>
      <c r="D1294" s="7" t="str">
        <f>$A1294&amp;"-"&amp;$C1294&amp;"-"&amp;TEXT(COUNTIFS($A$2:$A1294,$A1294,$C$2:$C1294,$C1294),"000")</f>
        <v>F3-ALERTAS-355</v>
      </c>
      <c r="E1294" s="7" t="s">
        <v>1362</v>
      </c>
      <c r="F1294" s="7" t="s">
        <v>1008</v>
      </c>
      <c r="G1294" s="7" t="s">
        <v>4</v>
      </c>
    </row>
    <row r="1295" spans="1:7">
      <c r="A1295" s="7" t="s">
        <v>1006</v>
      </c>
      <c r="B1295" s="7" t="s">
        <v>36</v>
      </c>
      <c r="C1295" s="7" t="str">
        <f>VLOOKUP(B1295,Indice!$B$1:$C$22,2,0)</f>
        <v>ALERTAS</v>
      </c>
      <c r="D1295" s="7" t="str">
        <f>$A1295&amp;"-"&amp;$C1295&amp;"-"&amp;TEXT(COUNTIFS($A$2:$A1295,$A1295,$C$2:$C1295,$C1295),"000")</f>
        <v>F3-ALERTAS-356</v>
      </c>
      <c r="E1295" s="7" t="s">
        <v>1363</v>
      </c>
      <c r="F1295" s="7" t="s">
        <v>1008</v>
      </c>
      <c r="G1295" s="7" t="s">
        <v>4</v>
      </c>
    </row>
    <row r="1296" spans="1:7">
      <c r="A1296" s="7" t="s">
        <v>1006</v>
      </c>
      <c r="B1296" s="7" t="s">
        <v>36</v>
      </c>
      <c r="C1296" s="7" t="str">
        <f>VLOOKUP(B1296,Indice!$B$1:$C$22,2,0)</f>
        <v>ALERTAS</v>
      </c>
      <c r="D1296" s="7" t="str">
        <f>$A1296&amp;"-"&amp;$C1296&amp;"-"&amp;TEXT(COUNTIFS($A$2:$A1296,$A1296,$C$2:$C1296,$C1296),"000")</f>
        <v>F3-ALERTAS-357</v>
      </c>
      <c r="E1296" s="7" t="s">
        <v>1364</v>
      </c>
      <c r="F1296" s="7" t="s">
        <v>1008</v>
      </c>
      <c r="G1296" s="7" t="s">
        <v>4</v>
      </c>
    </row>
    <row r="1297" spans="1:7">
      <c r="A1297" s="7" t="s">
        <v>1006</v>
      </c>
      <c r="B1297" s="7" t="s">
        <v>36</v>
      </c>
      <c r="C1297" s="7" t="str">
        <f>VLOOKUP(B1297,Indice!$B$1:$C$22,2,0)</f>
        <v>ALERTAS</v>
      </c>
      <c r="D1297" s="7" t="str">
        <f>$A1297&amp;"-"&amp;$C1297&amp;"-"&amp;TEXT(COUNTIFS($A$2:$A1297,$A1297,$C$2:$C1297,$C1297),"000")</f>
        <v>F3-ALERTAS-358</v>
      </c>
      <c r="E1297" s="7" t="s">
        <v>1365</v>
      </c>
      <c r="F1297" s="7" t="s">
        <v>1008</v>
      </c>
      <c r="G1297" s="7" t="s">
        <v>4</v>
      </c>
    </row>
    <row r="1298" spans="1:7">
      <c r="A1298" s="7" t="s">
        <v>1006</v>
      </c>
      <c r="B1298" s="7" t="s">
        <v>36</v>
      </c>
      <c r="C1298" s="7" t="str">
        <f>VLOOKUP(B1298,Indice!$B$1:$C$22,2,0)</f>
        <v>ALERTAS</v>
      </c>
      <c r="D1298" s="7" t="str">
        <f>$A1298&amp;"-"&amp;$C1298&amp;"-"&amp;TEXT(COUNTIFS($A$2:$A1298,$A1298,$C$2:$C1298,$C1298),"000")</f>
        <v>F3-ALERTAS-359</v>
      </c>
      <c r="E1298" s="7" t="s">
        <v>1366</v>
      </c>
      <c r="F1298" s="7" t="s">
        <v>1008</v>
      </c>
      <c r="G1298" s="7" t="s">
        <v>4</v>
      </c>
    </row>
    <row r="1299" spans="1:7">
      <c r="A1299" s="7" t="s">
        <v>1006</v>
      </c>
      <c r="B1299" s="7" t="s">
        <v>36</v>
      </c>
      <c r="C1299" s="7" t="str">
        <f>VLOOKUP(B1299,Indice!$B$1:$C$22,2,0)</f>
        <v>ALERTAS</v>
      </c>
      <c r="D1299" s="7" t="str">
        <f>$A1299&amp;"-"&amp;$C1299&amp;"-"&amp;TEXT(COUNTIFS($A$2:$A1299,$A1299,$C$2:$C1299,$C1299),"000")</f>
        <v>F3-ALERTAS-360</v>
      </c>
      <c r="E1299" s="7" t="s">
        <v>1367</v>
      </c>
      <c r="F1299" s="7" t="s">
        <v>1008</v>
      </c>
      <c r="G1299" s="7" t="s">
        <v>4</v>
      </c>
    </row>
    <row r="1300" spans="1:7">
      <c r="A1300" s="7" t="s">
        <v>1006</v>
      </c>
      <c r="B1300" s="7" t="s">
        <v>36</v>
      </c>
      <c r="C1300" s="7" t="str">
        <f>VLOOKUP(B1300,Indice!$B$1:$C$22,2,0)</f>
        <v>ALERTAS</v>
      </c>
      <c r="D1300" s="7" t="str">
        <f>$A1300&amp;"-"&amp;$C1300&amp;"-"&amp;TEXT(COUNTIFS($A$2:$A1300,$A1300,$C$2:$C1300,$C1300),"000")</f>
        <v>F3-ALERTAS-361</v>
      </c>
      <c r="E1300" s="7" t="s">
        <v>1368</v>
      </c>
      <c r="F1300" s="7" t="s">
        <v>1008</v>
      </c>
      <c r="G1300" s="7" t="s">
        <v>4</v>
      </c>
    </row>
    <row r="1301" spans="1:7">
      <c r="A1301" s="7" t="s">
        <v>1006</v>
      </c>
      <c r="B1301" s="7" t="s">
        <v>36</v>
      </c>
      <c r="C1301" s="7" t="str">
        <f>VLOOKUP(B1301,Indice!$B$1:$C$22,2,0)</f>
        <v>ALERTAS</v>
      </c>
      <c r="D1301" s="7" t="str">
        <f>$A1301&amp;"-"&amp;$C1301&amp;"-"&amp;TEXT(COUNTIFS($A$2:$A1301,$A1301,$C$2:$C1301,$C1301),"000")</f>
        <v>F3-ALERTAS-362</v>
      </c>
      <c r="E1301" s="7" t="s">
        <v>1369</v>
      </c>
      <c r="F1301" s="7" t="s">
        <v>1008</v>
      </c>
      <c r="G1301" s="7" t="s">
        <v>4</v>
      </c>
    </row>
    <row r="1302" spans="1:7">
      <c r="A1302" s="7" t="s">
        <v>1006</v>
      </c>
      <c r="B1302" s="7" t="s">
        <v>36</v>
      </c>
      <c r="C1302" s="7" t="str">
        <f>VLOOKUP(B1302,Indice!$B$1:$C$22,2,0)</f>
        <v>ALERTAS</v>
      </c>
      <c r="D1302" s="7" t="str">
        <f>$A1302&amp;"-"&amp;$C1302&amp;"-"&amp;TEXT(COUNTIFS($A$2:$A1302,$A1302,$C$2:$C1302,$C1302),"000")</f>
        <v>F3-ALERTAS-363</v>
      </c>
      <c r="E1302" s="7" t="s">
        <v>1370</v>
      </c>
      <c r="F1302" s="7" t="s">
        <v>1008</v>
      </c>
      <c r="G1302" s="7" t="s">
        <v>4</v>
      </c>
    </row>
    <row r="1303" spans="1:7">
      <c r="A1303" s="7" t="s">
        <v>1006</v>
      </c>
      <c r="B1303" s="7" t="s">
        <v>36</v>
      </c>
      <c r="C1303" s="7" t="str">
        <f>VLOOKUP(B1303,Indice!$B$1:$C$22,2,0)</f>
        <v>ALERTAS</v>
      </c>
      <c r="D1303" s="7" t="str">
        <f>$A1303&amp;"-"&amp;$C1303&amp;"-"&amp;TEXT(COUNTIFS($A$2:$A1303,$A1303,$C$2:$C1303,$C1303),"000")</f>
        <v>F3-ALERTAS-364</v>
      </c>
      <c r="E1303" s="7" t="s">
        <v>1371</v>
      </c>
      <c r="F1303" s="7" t="s">
        <v>1372</v>
      </c>
      <c r="G1303" s="7" t="s">
        <v>3</v>
      </c>
    </row>
    <row r="1304" spans="1:7">
      <c r="A1304" s="7" t="s">
        <v>1006</v>
      </c>
      <c r="B1304" s="7" t="s">
        <v>36</v>
      </c>
      <c r="C1304" s="7" t="str">
        <f>VLOOKUP(B1304,Indice!$B$1:$C$22,2,0)</f>
        <v>ALERTAS</v>
      </c>
      <c r="D1304" s="7" t="str">
        <f>$A1304&amp;"-"&amp;$C1304&amp;"-"&amp;TEXT(COUNTIFS($A$2:$A1304,$A1304,$C$2:$C1304,$C1304),"000")</f>
        <v>F3-ALERTAS-365</v>
      </c>
      <c r="E1304" s="7" t="s">
        <v>1373</v>
      </c>
      <c r="F1304" s="7" t="s">
        <v>1372</v>
      </c>
      <c r="G1304" s="7" t="s">
        <v>3</v>
      </c>
    </row>
    <row r="1305" spans="1:7">
      <c r="A1305" s="7" t="s">
        <v>1006</v>
      </c>
      <c r="B1305" s="7" t="s">
        <v>36</v>
      </c>
      <c r="C1305" s="7" t="str">
        <f>VLOOKUP(B1305,Indice!$B$1:$C$22,2,0)</f>
        <v>ALERTAS</v>
      </c>
      <c r="D1305" s="7" t="str">
        <f>$A1305&amp;"-"&amp;$C1305&amp;"-"&amp;TEXT(COUNTIFS($A$2:$A1305,$A1305,$C$2:$C1305,$C1305),"000")</f>
        <v>F3-ALERTAS-366</v>
      </c>
      <c r="E1305" s="7" t="s">
        <v>1374</v>
      </c>
      <c r="F1305" s="7" t="s">
        <v>1372</v>
      </c>
      <c r="G1305" s="7" t="s">
        <v>3</v>
      </c>
    </row>
    <row r="1306" spans="1:7">
      <c r="A1306" s="7" t="s">
        <v>1006</v>
      </c>
      <c r="B1306" s="7" t="s">
        <v>36</v>
      </c>
      <c r="C1306" s="7" t="str">
        <f>VLOOKUP(B1306,Indice!$B$1:$C$22,2,0)</f>
        <v>ALERTAS</v>
      </c>
      <c r="D1306" s="7" t="str">
        <f>$A1306&amp;"-"&amp;$C1306&amp;"-"&amp;TEXT(COUNTIFS($A$2:$A1306,$A1306,$C$2:$C1306,$C1306),"000")</f>
        <v>F3-ALERTAS-367</v>
      </c>
      <c r="E1306" s="7" t="s">
        <v>1375</v>
      </c>
      <c r="F1306" s="7" t="s">
        <v>1372</v>
      </c>
      <c r="G1306" s="7" t="s">
        <v>3</v>
      </c>
    </row>
    <row r="1307" spans="1:7">
      <c r="A1307" s="7" t="s">
        <v>1006</v>
      </c>
      <c r="B1307" s="7" t="s">
        <v>36</v>
      </c>
      <c r="C1307" s="7" t="str">
        <f>VLOOKUP(B1307,Indice!$B$1:$C$22,2,0)</f>
        <v>ALERTAS</v>
      </c>
      <c r="D1307" s="7" t="str">
        <f>$A1307&amp;"-"&amp;$C1307&amp;"-"&amp;TEXT(COUNTIFS($A$2:$A1307,$A1307,$C$2:$C1307,$C1307),"000")</f>
        <v>F3-ALERTAS-368</v>
      </c>
      <c r="E1307" s="7" t="s">
        <v>1376</v>
      </c>
      <c r="F1307" s="7" t="s">
        <v>1372</v>
      </c>
      <c r="G1307" s="7" t="s">
        <v>3</v>
      </c>
    </row>
    <row r="1308" spans="1:7">
      <c r="A1308" s="7" t="s">
        <v>1006</v>
      </c>
      <c r="B1308" s="7" t="s">
        <v>36</v>
      </c>
      <c r="C1308" s="7" t="str">
        <f>VLOOKUP(B1308,Indice!$B$1:$C$22,2,0)</f>
        <v>ALERTAS</v>
      </c>
      <c r="D1308" s="7" t="str">
        <f>$A1308&amp;"-"&amp;$C1308&amp;"-"&amp;TEXT(COUNTIFS($A$2:$A1308,$A1308,$C$2:$C1308,$C1308),"000")</f>
        <v>F3-ALERTAS-369</v>
      </c>
      <c r="E1308" s="7" t="s">
        <v>1377</v>
      </c>
      <c r="F1308" s="7" t="s">
        <v>1372</v>
      </c>
      <c r="G1308" s="7" t="s">
        <v>3</v>
      </c>
    </row>
    <row r="1309" spans="1:7">
      <c r="A1309" s="7" t="s">
        <v>1006</v>
      </c>
      <c r="B1309" s="7" t="s">
        <v>36</v>
      </c>
      <c r="C1309" s="7" t="str">
        <f>VLOOKUP(B1309,Indice!$B$1:$C$22,2,0)</f>
        <v>ALERTAS</v>
      </c>
      <c r="D1309" s="7" t="str">
        <f>$A1309&amp;"-"&amp;$C1309&amp;"-"&amp;TEXT(COUNTIFS($A$2:$A1309,$A1309,$C$2:$C1309,$C1309),"000")</f>
        <v>F3-ALERTAS-370</v>
      </c>
      <c r="E1309" s="7" t="s">
        <v>1378</v>
      </c>
      <c r="F1309" s="7" t="s">
        <v>1372</v>
      </c>
      <c r="G1309" s="7" t="s">
        <v>3</v>
      </c>
    </row>
    <row r="1310" spans="1:7">
      <c r="A1310" s="7" t="s">
        <v>1006</v>
      </c>
      <c r="B1310" s="7" t="s">
        <v>36</v>
      </c>
      <c r="C1310" s="7" t="str">
        <f>VLOOKUP(B1310,Indice!$B$1:$C$22,2,0)</f>
        <v>ALERTAS</v>
      </c>
      <c r="D1310" s="7" t="str">
        <f>$A1310&amp;"-"&amp;$C1310&amp;"-"&amp;TEXT(COUNTIFS($A$2:$A1310,$A1310,$C$2:$C1310,$C1310),"000")</f>
        <v>F3-ALERTAS-371</v>
      </c>
      <c r="E1310" s="7" t="s">
        <v>1379</v>
      </c>
      <c r="F1310" s="7" t="s">
        <v>1372</v>
      </c>
      <c r="G1310" s="7" t="s">
        <v>3</v>
      </c>
    </row>
    <row r="1311" spans="1:7">
      <c r="A1311" s="7" t="s">
        <v>1006</v>
      </c>
      <c r="B1311" s="7" t="s">
        <v>36</v>
      </c>
      <c r="C1311" s="7" t="str">
        <f>VLOOKUP(B1311,Indice!$B$1:$C$22,2,0)</f>
        <v>ALERTAS</v>
      </c>
      <c r="D1311" s="7" t="str">
        <f>$A1311&amp;"-"&amp;$C1311&amp;"-"&amp;TEXT(COUNTIFS($A$2:$A1311,$A1311,$C$2:$C1311,$C1311),"000")</f>
        <v>F3-ALERTAS-372</v>
      </c>
      <c r="E1311" s="7" t="s">
        <v>1380</v>
      </c>
      <c r="F1311" s="7" t="s">
        <v>1372</v>
      </c>
      <c r="G1311" s="7" t="s">
        <v>3</v>
      </c>
    </row>
    <row r="1312" spans="1:7">
      <c r="A1312" s="7" t="s">
        <v>1006</v>
      </c>
      <c r="B1312" s="7" t="s">
        <v>36</v>
      </c>
      <c r="C1312" s="7" t="str">
        <f>VLOOKUP(B1312,Indice!$B$1:$C$22,2,0)</f>
        <v>ALERTAS</v>
      </c>
      <c r="D1312" s="7" t="str">
        <f>$A1312&amp;"-"&amp;$C1312&amp;"-"&amp;TEXT(COUNTIFS($A$2:$A1312,$A1312,$C$2:$C1312,$C1312),"000")</f>
        <v>F3-ALERTAS-373</v>
      </c>
      <c r="E1312" s="7" t="s">
        <v>1381</v>
      </c>
      <c r="F1312" s="7" t="s">
        <v>1372</v>
      </c>
      <c r="G1312" s="7" t="s">
        <v>3</v>
      </c>
    </row>
    <row r="1313" spans="1:7">
      <c r="A1313" s="7" t="s">
        <v>1006</v>
      </c>
      <c r="B1313" s="7" t="s">
        <v>36</v>
      </c>
      <c r="C1313" s="7" t="str">
        <f>VLOOKUP(B1313,Indice!$B$1:$C$22,2,0)</f>
        <v>ALERTAS</v>
      </c>
      <c r="D1313" s="7" t="str">
        <f>$A1313&amp;"-"&amp;$C1313&amp;"-"&amp;TEXT(COUNTIFS($A$2:$A1313,$A1313,$C$2:$C1313,$C1313),"000")</f>
        <v>F3-ALERTAS-374</v>
      </c>
      <c r="E1313" s="7" t="s">
        <v>1382</v>
      </c>
      <c r="F1313" s="7" t="s">
        <v>1372</v>
      </c>
      <c r="G1313" s="7" t="s">
        <v>3</v>
      </c>
    </row>
    <row r="1314" spans="1:7">
      <c r="A1314" s="7" t="s">
        <v>1006</v>
      </c>
      <c r="B1314" s="7" t="s">
        <v>36</v>
      </c>
      <c r="C1314" s="7" t="str">
        <f>VLOOKUP(B1314,Indice!$B$1:$C$22,2,0)</f>
        <v>ALERTAS</v>
      </c>
      <c r="D1314" s="7" t="str">
        <f>$A1314&amp;"-"&amp;$C1314&amp;"-"&amp;TEXT(COUNTIFS($A$2:$A1314,$A1314,$C$2:$C1314,$C1314),"000")</f>
        <v>F3-ALERTAS-375</v>
      </c>
      <c r="E1314" s="7" t="s">
        <v>1383</v>
      </c>
      <c r="F1314" s="7" t="s">
        <v>1372</v>
      </c>
      <c r="G1314" s="7" t="s">
        <v>3</v>
      </c>
    </row>
    <row r="1315" spans="1:7">
      <c r="A1315" s="7" t="s">
        <v>1006</v>
      </c>
      <c r="B1315" s="7" t="s">
        <v>36</v>
      </c>
      <c r="C1315" s="7" t="str">
        <f>VLOOKUP(B1315,Indice!$B$1:$C$22,2,0)</f>
        <v>ALERTAS</v>
      </c>
      <c r="D1315" s="7" t="str">
        <f>$A1315&amp;"-"&amp;$C1315&amp;"-"&amp;TEXT(COUNTIFS($A$2:$A1315,$A1315,$C$2:$C1315,$C1315),"000")</f>
        <v>F3-ALERTAS-376</v>
      </c>
      <c r="E1315" s="7" t="s">
        <v>1384</v>
      </c>
      <c r="F1315" s="7" t="s">
        <v>1372</v>
      </c>
      <c r="G1315" s="7" t="s">
        <v>3</v>
      </c>
    </row>
    <row r="1316" spans="1:7">
      <c r="A1316" s="7" t="s">
        <v>1006</v>
      </c>
      <c r="B1316" s="7" t="s">
        <v>36</v>
      </c>
      <c r="C1316" s="7" t="str">
        <f>VLOOKUP(B1316,Indice!$B$1:$C$22,2,0)</f>
        <v>ALERTAS</v>
      </c>
      <c r="D1316" s="7" t="str">
        <f>$A1316&amp;"-"&amp;$C1316&amp;"-"&amp;TEXT(COUNTIFS($A$2:$A1316,$A1316,$C$2:$C1316,$C1316),"000")</f>
        <v>F3-ALERTAS-377</v>
      </c>
      <c r="E1316" s="7" t="s">
        <v>1385</v>
      </c>
      <c r="F1316" s="7" t="s">
        <v>1372</v>
      </c>
      <c r="G1316" s="7" t="s">
        <v>3</v>
      </c>
    </row>
    <row r="1317" spans="1:7">
      <c r="A1317" s="7" t="s">
        <v>1006</v>
      </c>
      <c r="B1317" s="7" t="s">
        <v>36</v>
      </c>
      <c r="C1317" s="7" t="str">
        <f>VLOOKUP(B1317,Indice!$B$1:$C$22,2,0)</f>
        <v>ALERTAS</v>
      </c>
      <c r="D1317" s="7" t="str">
        <f>$A1317&amp;"-"&amp;$C1317&amp;"-"&amp;TEXT(COUNTIFS($A$2:$A1317,$A1317,$C$2:$C1317,$C1317),"000")</f>
        <v>F3-ALERTAS-378</v>
      </c>
      <c r="E1317" s="7" t="s">
        <v>1386</v>
      </c>
      <c r="F1317" s="7" t="s">
        <v>1372</v>
      </c>
      <c r="G1317" s="7" t="s">
        <v>3</v>
      </c>
    </row>
    <row r="1318" spans="1:7">
      <c r="A1318" s="7" t="s">
        <v>1006</v>
      </c>
      <c r="B1318" s="7" t="s">
        <v>36</v>
      </c>
      <c r="C1318" s="7" t="str">
        <f>VLOOKUP(B1318,Indice!$B$1:$C$22,2,0)</f>
        <v>ALERTAS</v>
      </c>
      <c r="D1318" s="7" t="str">
        <f>$A1318&amp;"-"&amp;$C1318&amp;"-"&amp;TEXT(COUNTIFS($A$2:$A1318,$A1318,$C$2:$C1318,$C1318),"000")</f>
        <v>F3-ALERTAS-379</v>
      </c>
      <c r="E1318" s="7" t="s">
        <v>1387</v>
      </c>
      <c r="F1318" s="7" t="s">
        <v>1372</v>
      </c>
      <c r="G1318" s="7" t="s">
        <v>3</v>
      </c>
    </row>
    <row r="1319" spans="1:7">
      <c r="A1319" s="7" t="s">
        <v>1006</v>
      </c>
      <c r="B1319" s="7" t="s">
        <v>36</v>
      </c>
      <c r="C1319" s="7" t="str">
        <f>VLOOKUP(B1319,Indice!$B$1:$C$22,2,0)</f>
        <v>ALERTAS</v>
      </c>
      <c r="D1319" s="7" t="str">
        <f>$A1319&amp;"-"&amp;$C1319&amp;"-"&amp;TEXT(COUNTIFS($A$2:$A1319,$A1319,$C$2:$C1319,$C1319),"000")</f>
        <v>F3-ALERTAS-380</v>
      </c>
      <c r="E1319" s="7" t="s">
        <v>1388</v>
      </c>
      <c r="F1319" s="7" t="s">
        <v>1372</v>
      </c>
      <c r="G1319" s="7" t="s">
        <v>3</v>
      </c>
    </row>
    <row r="1320" spans="1:7">
      <c r="A1320" s="7" t="s">
        <v>1006</v>
      </c>
      <c r="B1320" s="7" t="s">
        <v>36</v>
      </c>
      <c r="C1320" s="7" t="str">
        <f>VLOOKUP(B1320,Indice!$B$1:$C$22,2,0)</f>
        <v>ALERTAS</v>
      </c>
      <c r="D1320" s="7" t="str">
        <f>$A1320&amp;"-"&amp;$C1320&amp;"-"&amp;TEXT(COUNTIFS($A$2:$A1320,$A1320,$C$2:$C1320,$C1320),"000")</f>
        <v>F3-ALERTAS-381</v>
      </c>
      <c r="E1320" s="7" t="s">
        <v>1389</v>
      </c>
      <c r="F1320" s="7" t="s">
        <v>1372</v>
      </c>
      <c r="G1320" s="7" t="s">
        <v>3</v>
      </c>
    </row>
    <row r="1321" spans="1:7">
      <c r="A1321" s="7" t="s">
        <v>1006</v>
      </c>
      <c r="B1321" s="7" t="s">
        <v>36</v>
      </c>
      <c r="C1321" s="7" t="str">
        <f>VLOOKUP(B1321,Indice!$B$1:$C$22,2,0)</f>
        <v>ALERTAS</v>
      </c>
      <c r="D1321" s="7" t="str">
        <f>$A1321&amp;"-"&amp;$C1321&amp;"-"&amp;TEXT(COUNTIFS($A$2:$A1321,$A1321,$C$2:$C1321,$C1321),"000")</f>
        <v>F3-ALERTAS-382</v>
      </c>
      <c r="E1321" s="7" t="s">
        <v>1390</v>
      </c>
      <c r="F1321" s="7" t="s">
        <v>1372</v>
      </c>
      <c r="G1321" s="7" t="s">
        <v>3</v>
      </c>
    </row>
    <row r="1322" spans="1:7">
      <c r="A1322" s="7" t="s">
        <v>1006</v>
      </c>
      <c r="B1322" s="7" t="s">
        <v>36</v>
      </c>
      <c r="C1322" s="7" t="str">
        <f>VLOOKUP(B1322,Indice!$B$1:$C$22,2,0)</f>
        <v>ALERTAS</v>
      </c>
      <c r="D1322" s="7" t="str">
        <f>$A1322&amp;"-"&amp;$C1322&amp;"-"&amp;TEXT(COUNTIFS($A$2:$A1322,$A1322,$C$2:$C1322,$C1322),"000")</f>
        <v>F3-ALERTAS-383</v>
      </c>
      <c r="E1322" s="7" t="s">
        <v>1391</v>
      </c>
      <c r="F1322" s="7" t="s">
        <v>1372</v>
      </c>
      <c r="G1322" s="7" t="s">
        <v>3</v>
      </c>
    </row>
    <row r="1323" spans="1:7">
      <c r="A1323" s="7" t="s">
        <v>1006</v>
      </c>
      <c r="B1323" s="7" t="s">
        <v>36</v>
      </c>
      <c r="C1323" s="7" t="str">
        <f>VLOOKUP(B1323,Indice!$B$1:$C$22,2,0)</f>
        <v>ALERTAS</v>
      </c>
      <c r="D1323" s="7" t="str">
        <f>$A1323&amp;"-"&amp;$C1323&amp;"-"&amp;TEXT(COUNTIFS($A$2:$A1323,$A1323,$C$2:$C1323,$C1323),"000")</f>
        <v>F3-ALERTAS-384</v>
      </c>
      <c r="E1323" s="7" t="s">
        <v>1392</v>
      </c>
      <c r="F1323" s="7" t="s">
        <v>1372</v>
      </c>
      <c r="G1323" s="7" t="s">
        <v>3</v>
      </c>
    </row>
    <row r="1324" spans="1:7">
      <c r="A1324" s="7" t="s">
        <v>1006</v>
      </c>
      <c r="B1324" s="7" t="s">
        <v>36</v>
      </c>
      <c r="C1324" s="7" t="str">
        <f>VLOOKUP(B1324,Indice!$B$1:$C$22,2,0)</f>
        <v>ALERTAS</v>
      </c>
      <c r="D1324" s="7" t="str">
        <f>$A1324&amp;"-"&amp;$C1324&amp;"-"&amp;TEXT(COUNTIFS($A$2:$A1324,$A1324,$C$2:$C1324,$C1324),"000")</f>
        <v>F3-ALERTAS-385</v>
      </c>
      <c r="E1324" s="7" t="s">
        <v>1393</v>
      </c>
      <c r="F1324" s="7" t="s">
        <v>1372</v>
      </c>
      <c r="G1324" s="7" t="s">
        <v>3</v>
      </c>
    </row>
    <row r="1325" spans="1:7">
      <c r="A1325" s="7" t="s">
        <v>1006</v>
      </c>
      <c r="B1325" s="7" t="s">
        <v>36</v>
      </c>
      <c r="C1325" s="7" t="str">
        <f>VLOOKUP(B1325,Indice!$B$1:$C$22,2,0)</f>
        <v>ALERTAS</v>
      </c>
      <c r="D1325" s="7" t="str">
        <f>$A1325&amp;"-"&amp;$C1325&amp;"-"&amp;TEXT(COUNTIFS($A$2:$A1325,$A1325,$C$2:$C1325,$C1325),"000")</f>
        <v>F3-ALERTAS-386</v>
      </c>
      <c r="E1325" s="7" t="s">
        <v>1394</v>
      </c>
      <c r="F1325" s="7" t="s">
        <v>1372</v>
      </c>
      <c r="G1325" s="7" t="s">
        <v>3</v>
      </c>
    </row>
    <row r="1326" spans="1:7">
      <c r="A1326" s="7" t="s">
        <v>1006</v>
      </c>
      <c r="B1326" s="7" t="s">
        <v>36</v>
      </c>
      <c r="C1326" s="7" t="str">
        <f>VLOOKUP(B1326,Indice!$B$1:$C$22,2,0)</f>
        <v>ALERTAS</v>
      </c>
      <c r="D1326" s="7" t="str">
        <f>$A1326&amp;"-"&amp;$C1326&amp;"-"&amp;TEXT(COUNTIFS($A$2:$A1326,$A1326,$C$2:$C1326,$C1326),"000")</f>
        <v>F3-ALERTAS-387</v>
      </c>
      <c r="E1326" s="7" t="s">
        <v>1395</v>
      </c>
      <c r="F1326" s="7" t="s">
        <v>1372</v>
      </c>
      <c r="G1326" s="7" t="s">
        <v>3</v>
      </c>
    </row>
    <row r="1327" spans="1:7">
      <c r="A1327" s="7" t="s">
        <v>1006</v>
      </c>
      <c r="B1327" s="7" t="s">
        <v>36</v>
      </c>
      <c r="C1327" s="7" t="str">
        <f>VLOOKUP(B1327,Indice!$B$1:$C$22,2,0)</f>
        <v>ALERTAS</v>
      </c>
      <c r="D1327" s="7" t="str">
        <f>$A1327&amp;"-"&amp;$C1327&amp;"-"&amp;TEXT(COUNTIFS($A$2:$A1327,$A1327,$C$2:$C1327,$C1327),"000")</f>
        <v>F3-ALERTAS-388</v>
      </c>
      <c r="E1327" s="7" t="s">
        <v>1396</v>
      </c>
      <c r="F1327" s="7" t="s">
        <v>1372</v>
      </c>
      <c r="G1327" s="7" t="s">
        <v>3</v>
      </c>
    </row>
    <row r="1328" spans="1:7">
      <c r="A1328" s="7" t="s">
        <v>1006</v>
      </c>
      <c r="B1328" s="7" t="s">
        <v>36</v>
      </c>
      <c r="C1328" s="7" t="str">
        <f>VLOOKUP(B1328,Indice!$B$1:$C$22,2,0)</f>
        <v>ALERTAS</v>
      </c>
      <c r="D1328" s="7" t="str">
        <f>$A1328&amp;"-"&amp;$C1328&amp;"-"&amp;TEXT(COUNTIFS($A$2:$A1328,$A1328,$C$2:$C1328,$C1328),"000")</f>
        <v>F3-ALERTAS-389</v>
      </c>
      <c r="E1328" s="7" t="s">
        <v>1397</v>
      </c>
      <c r="F1328" s="7" t="s">
        <v>1372</v>
      </c>
      <c r="G1328" s="7" t="s">
        <v>3</v>
      </c>
    </row>
    <row r="1329" spans="1:7">
      <c r="A1329" s="7" t="s">
        <v>1006</v>
      </c>
      <c r="B1329" s="7" t="s">
        <v>36</v>
      </c>
      <c r="C1329" s="7" t="str">
        <f>VLOOKUP(B1329,Indice!$B$1:$C$22,2,0)</f>
        <v>ALERTAS</v>
      </c>
      <c r="D1329" s="7" t="str">
        <f>$A1329&amp;"-"&amp;$C1329&amp;"-"&amp;TEXT(COUNTIFS($A$2:$A1329,$A1329,$C$2:$C1329,$C1329),"000")</f>
        <v>F3-ALERTAS-390</v>
      </c>
      <c r="E1329" s="7" t="s">
        <v>1398</v>
      </c>
      <c r="F1329" s="7" t="s">
        <v>1372</v>
      </c>
      <c r="G1329" s="7" t="s">
        <v>3</v>
      </c>
    </row>
    <row r="1330" spans="1:7">
      <c r="A1330" s="7" t="s">
        <v>1006</v>
      </c>
      <c r="B1330" s="7" t="s">
        <v>36</v>
      </c>
      <c r="C1330" s="7" t="str">
        <f>VLOOKUP(B1330,Indice!$B$1:$C$22,2,0)</f>
        <v>ALERTAS</v>
      </c>
      <c r="D1330" s="7" t="str">
        <f>$A1330&amp;"-"&amp;$C1330&amp;"-"&amp;TEXT(COUNTIFS($A$2:$A1330,$A1330,$C$2:$C1330,$C1330),"000")</f>
        <v>F3-ALERTAS-391</v>
      </c>
      <c r="E1330" s="7" t="s">
        <v>1399</v>
      </c>
      <c r="F1330" s="7" t="s">
        <v>1372</v>
      </c>
      <c r="G1330" s="7" t="s">
        <v>3</v>
      </c>
    </row>
    <row r="1331" spans="1:7">
      <c r="A1331" s="7" t="s">
        <v>1006</v>
      </c>
      <c r="B1331" s="7" t="s">
        <v>36</v>
      </c>
      <c r="C1331" s="7" t="str">
        <f>VLOOKUP(B1331,Indice!$B$1:$C$22,2,0)</f>
        <v>ALERTAS</v>
      </c>
      <c r="D1331" s="7" t="str">
        <f>$A1331&amp;"-"&amp;$C1331&amp;"-"&amp;TEXT(COUNTIFS($A$2:$A1331,$A1331,$C$2:$C1331,$C1331),"000")</f>
        <v>F3-ALERTAS-392</v>
      </c>
      <c r="E1331" s="7" t="s">
        <v>1400</v>
      </c>
      <c r="F1331" s="7" t="s">
        <v>1372</v>
      </c>
      <c r="G1331" s="7" t="s">
        <v>3</v>
      </c>
    </row>
    <row r="1332" spans="1:7">
      <c r="A1332" s="7" t="s">
        <v>1006</v>
      </c>
      <c r="B1332" s="7" t="s">
        <v>36</v>
      </c>
      <c r="C1332" s="7" t="str">
        <f>VLOOKUP(B1332,Indice!$B$1:$C$22,2,0)</f>
        <v>ALERTAS</v>
      </c>
      <c r="D1332" s="7" t="str">
        <f>$A1332&amp;"-"&amp;$C1332&amp;"-"&amp;TEXT(COUNTIFS($A$2:$A1332,$A1332,$C$2:$C1332,$C1332),"000")</f>
        <v>F3-ALERTAS-393</v>
      </c>
      <c r="E1332" s="7" t="s">
        <v>1401</v>
      </c>
      <c r="F1332" s="7" t="s">
        <v>1372</v>
      </c>
      <c r="G1332" s="7" t="s">
        <v>3</v>
      </c>
    </row>
    <row r="1333" spans="1:7">
      <c r="A1333" s="7" t="s">
        <v>1006</v>
      </c>
      <c r="B1333" s="7" t="s">
        <v>36</v>
      </c>
      <c r="C1333" s="7" t="str">
        <f>VLOOKUP(B1333,Indice!$B$1:$C$22,2,0)</f>
        <v>ALERTAS</v>
      </c>
      <c r="D1333" s="7" t="str">
        <f>$A1333&amp;"-"&amp;$C1333&amp;"-"&amp;TEXT(COUNTIFS($A$2:$A1333,$A1333,$C$2:$C1333,$C1333),"000")</f>
        <v>F3-ALERTAS-394</v>
      </c>
      <c r="E1333" s="7" t="s">
        <v>1402</v>
      </c>
      <c r="F1333" s="7" t="s">
        <v>1372</v>
      </c>
      <c r="G1333" s="7" t="s">
        <v>3</v>
      </c>
    </row>
    <row r="1334" spans="1:7">
      <c r="A1334" s="7" t="s">
        <v>1006</v>
      </c>
      <c r="B1334" s="7" t="s">
        <v>36</v>
      </c>
      <c r="C1334" s="7" t="str">
        <f>VLOOKUP(B1334,Indice!$B$1:$C$22,2,0)</f>
        <v>ALERTAS</v>
      </c>
      <c r="D1334" s="7" t="str">
        <f>$A1334&amp;"-"&amp;$C1334&amp;"-"&amp;TEXT(COUNTIFS($A$2:$A1334,$A1334,$C$2:$C1334,$C1334),"000")</f>
        <v>F3-ALERTAS-395</v>
      </c>
      <c r="E1334" s="7" t="s">
        <v>1403</v>
      </c>
      <c r="F1334" s="7" t="s">
        <v>1372</v>
      </c>
      <c r="G1334" s="7" t="s">
        <v>3</v>
      </c>
    </row>
    <row r="1335" spans="1:7">
      <c r="A1335" s="7" t="s">
        <v>1006</v>
      </c>
      <c r="B1335" s="7" t="s">
        <v>36</v>
      </c>
      <c r="C1335" s="7" t="str">
        <f>VLOOKUP(B1335,Indice!$B$1:$C$22,2,0)</f>
        <v>ALERTAS</v>
      </c>
      <c r="D1335" s="7" t="str">
        <f>$A1335&amp;"-"&amp;$C1335&amp;"-"&amp;TEXT(COUNTIFS($A$2:$A1335,$A1335,$C$2:$C1335,$C1335),"000")</f>
        <v>F3-ALERTAS-396</v>
      </c>
      <c r="E1335" s="7" t="s">
        <v>1404</v>
      </c>
      <c r="F1335" s="7" t="s">
        <v>1372</v>
      </c>
      <c r="G1335" s="7" t="s">
        <v>3</v>
      </c>
    </row>
    <row r="1336" spans="1:7">
      <c r="A1336" s="7" t="s">
        <v>1006</v>
      </c>
      <c r="B1336" s="7" t="s">
        <v>36</v>
      </c>
      <c r="C1336" s="7" t="str">
        <f>VLOOKUP(B1336,Indice!$B$1:$C$22,2,0)</f>
        <v>ALERTAS</v>
      </c>
      <c r="D1336" s="7" t="str">
        <f>$A1336&amp;"-"&amp;$C1336&amp;"-"&amp;TEXT(COUNTIFS($A$2:$A1336,$A1336,$C$2:$C1336,$C1336),"000")</f>
        <v>F3-ALERTAS-397</v>
      </c>
      <c r="E1336" s="7" t="s">
        <v>1405</v>
      </c>
      <c r="F1336" s="7" t="s">
        <v>1372</v>
      </c>
      <c r="G1336" s="7" t="s">
        <v>3</v>
      </c>
    </row>
    <row r="1337" spans="1:7">
      <c r="A1337" s="7" t="s">
        <v>1006</v>
      </c>
      <c r="B1337" s="7" t="s">
        <v>36</v>
      </c>
      <c r="C1337" s="7" t="str">
        <f>VLOOKUP(B1337,Indice!$B$1:$C$22,2,0)</f>
        <v>ALERTAS</v>
      </c>
      <c r="D1337" s="7" t="str">
        <f>$A1337&amp;"-"&amp;$C1337&amp;"-"&amp;TEXT(COUNTIFS($A$2:$A1337,$A1337,$C$2:$C1337,$C1337),"000")</f>
        <v>F3-ALERTAS-398</v>
      </c>
      <c r="E1337" s="7" t="s">
        <v>1406</v>
      </c>
      <c r="F1337" s="7" t="s">
        <v>1372</v>
      </c>
      <c r="G1337" s="7" t="s">
        <v>3</v>
      </c>
    </row>
    <row r="1338" spans="1:7">
      <c r="A1338" s="7" t="s">
        <v>1006</v>
      </c>
      <c r="B1338" s="7" t="s">
        <v>36</v>
      </c>
      <c r="C1338" s="7" t="str">
        <f>VLOOKUP(B1338,Indice!$B$1:$C$22,2,0)</f>
        <v>ALERTAS</v>
      </c>
      <c r="D1338" s="7" t="str">
        <f>$A1338&amp;"-"&amp;$C1338&amp;"-"&amp;TEXT(COUNTIFS($A$2:$A1338,$A1338,$C$2:$C1338,$C1338),"000")</f>
        <v>F3-ALERTAS-399</v>
      </c>
      <c r="E1338" s="7" t="s">
        <v>1407</v>
      </c>
      <c r="F1338" s="7" t="s">
        <v>1372</v>
      </c>
      <c r="G1338" s="7" t="s">
        <v>3</v>
      </c>
    </row>
    <row r="1339" spans="1:7">
      <c r="A1339" s="7" t="s">
        <v>1006</v>
      </c>
      <c r="B1339" s="7" t="s">
        <v>36</v>
      </c>
      <c r="C1339" s="7" t="str">
        <f>VLOOKUP(B1339,Indice!$B$1:$C$22,2,0)</f>
        <v>ALERTAS</v>
      </c>
      <c r="D1339" s="7" t="str">
        <f>$A1339&amp;"-"&amp;$C1339&amp;"-"&amp;TEXT(COUNTIFS($A$2:$A1339,$A1339,$C$2:$C1339,$C1339),"000")</f>
        <v>F3-ALERTAS-400</v>
      </c>
      <c r="E1339" s="7" t="s">
        <v>1408</v>
      </c>
      <c r="F1339" s="7" t="s">
        <v>1372</v>
      </c>
      <c r="G1339" s="7" t="s">
        <v>3</v>
      </c>
    </row>
    <row r="1340" spans="1:7">
      <c r="A1340" s="7" t="s">
        <v>1006</v>
      </c>
      <c r="B1340" s="7" t="s">
        <v>36</v>
      </c>
      <c r="C1340" s="7" t="str">
        <f>VLOOKUP(B1340,Indice!$B$1:$C$22,2,0)</f>
        <v>ALERTAS</v>
      </c>
      <c r="D1340" s="7" t="str">
        <f>$A1340&amp;"-"&amp;$C1340&amp;"-"&amp;TEXT(COUNTIFS($A$2:$A1340,$A1340,$C$2:$C1340,$C1340),"000")</f>
        <v>F3-ALERTAS-401</v>
      </c>
      <c r="E1340" s="7" t="s">
        <v>1409</v>
      </c>
      <c r="F1340" s="7" t="s">
        <v>1372</v>
      </c>
      <c r="G1340" s="7" t="s">
        <v>3</v>
      </c>
    </row>
    <row r="1341" spans="1:7">
      <c r="A1341" s="7" t="s">
        <v>1006</v>
      </c>
      <c r="B1341" s="7" t="s">
        <v>36</v>
      </c>
      <c r="C1341" s="7" t="str">
        <f>VLOOKUP(B1341,Indice!$B$1:$C$22,2,0)</f>
        <v>ALERTAS</v>
      </c>
      <c r="D1341" s="7" t="str">
        <f>$A1341&amp;"-"&amp;$C1341&amp;"-"&amp;TEXT(COUNTIFS($A$2:$A1341,$A1341,$C$2:$C1341,$C1341),"000")</f>
        <v>F3-ALERTAS-402</v>
      </c>
      <c r="E1341" s="7" t="s">
        <v>1410</v>
      </c>
      <c r="F1341" s="7" t="s">
        <v>1372</v>
      </c>
      <c r="G1341" s="7" t="s">
        <v>3</v>
      </c>
    </row>
    <row r="1342" spans="1:7">
      <c r="A1342" s="7" t="s">
        <v>1006</v>
      </c>
      <c r="B1342" s="7" t="s">
        <v>36</v>
      </c>
      <c r="C1342" s="7" t="str">
        <f>VLOOKUP(B1342,Indice!$B$1:$C$22,2,0)</f>
        <v>ALERTAS</v>
      </c>
      <c r="D1342" s="7" t="str">
        <f>$A1342&amp;"-"&amp;$C1342&amp;"-"&amp;TEXT(COUNTIFS($A$2:$A1342,$A1342,$C$2:$C1342,$C1342),"000")</f>
        <v>F3-ALERTAS-403</v>
      </c>
      <c r="E1342" s="7" t="s">
        <v>1411</v>
      </c>
      <c r="F1342" s="7" t="s">
        <v>1372</v>
      </c>
      <c r="G1342" s="7" t="s">
        <v>3</v>
      </c>
    </row>
    <row r="1343" spans="1:7">
      <c r="A1343" s="7" t="s">
        <v>1006</v>
      </c>
      <c r="B1343" s="7" t="s">
        <v>36</v>
      </c>
      <c r="C1343" s="7" t="str">
        <f>VLOOKUP(B1343,Indice!$B$1:$C$22,2,0)</f>
        <v>ALERTAS</v>
      </c>
      <c r="D1343" s="7" t="str">
        <f>$A1343&amp;"-"&amp;$C1343&amp;"-"&amp;TEXT(COUNTIFS($A$2:$A1343,$A1343,$C$2:$C1343,$C1343),"000")</f>
        <v>F3-ALERTAS-404</v>
      </c>
      <c r="E1343" s="7" t="s">
        <v>1412</v>
      </c>
      <c r="F1343" s="7" t="s">
        <v>1372</v>
      </c>
      <c r="G1343" s="7" t="s">
        <v>3</v>
      </c>
    </row>
    <row r="1344" spans="1:7">
      <c r="A1344" s="7" t="s">
        <v>1006</v>
      </c>
      <c r="B1344" s="7" t="s">
        <v>36</v>
      </c>
      <c r="C1344" s="7" t="str">
        <f>VLOOKUP(B1344,Indice!$B$1:$C$22,2,0)</f>
        <v>ALERTAS</v>
      </c>
      <c r="D1344" s="7" t="str">
        <f>$A1344&amp;"-"&amp;$C1344&amp;"-"&amp;TEXT(COUNTIFS($A$2:$A1344,$A1344,$C$2:$C1344,$C1344),"000")</f>
        <v>F3-ALERTAS-405</v>
      </c>
      <c r="E1344" s="7" t="s">
        <v>1413</v>
      </c>
      <c r="F1344" s="7" t="s">
        <v>1372</v>
      </c>
      <c r="G1344" s="7" t="s">
        <v>3</v>
      </c>
    </row>
    <row r="1345" spans="1:7">
      <c r="A1345" s="7" t="s">
        <v>1006</v>
      </c>
      <c r="B1345" s="7" t="s">
        <v>36</v>
      </c>
      <c r="C1345" s="7" t="str">
        <f>VLOOKUP(B1345,Indice!$B$1:$C$22,2,0)</f>
        <v>ALERTAS</v>
      </c>
      <c r="D1345" s="7" t="str">
        <f>$A1345&amp;"-"&amp;$C1345&amp;"-"&amp;TEXT(COUNTIFS($A$2:$A1345,$A1345,$C$2:$C1345,$C1345),"000")</f>
        <v>F3-ALERTAS-406</v>
      </c>
      <c r="E1345" s="7" t="s">
        <v>1414</v>
      </c>
      <c r="F1345" s="7" t="s">
        <v>1372</v>
      </c>
      <c r="G1345" s="7" t="s">
        <v>3</v>
      </c>
    </row>
    <row r="1346" spans="1:7">
      <c r="A1346" s="7" t="s">
        <v>1006</v>
      </c>
      <c r="B1346" s="7" t="s">
        <v>36</v>
      </c>
      <c r="C1346" s="7" t="str">
        <f>VLOOKUP(B1346,Indice!$B$1:$C$22,2,0)</f>
        <v>ALERTAS</v>
      </c>
      <c r="D1346" s="7" t="str">
        <f>$A1346&amp;"-"&amp;$C1346&amp;"-"&amp;TEXT(COUNTIFS($A$2:$A1346,$A1346,$C$2:$C1346,$C1346),"000")</f>
        <v>F3-ALERTAS-407</v>
      </c>
      <c r="E1346" s="7" t="s">
        <v>1415</v>
      </c>
      <c r="F1346" s="7" t="s">
        <v>1372</v>
      </c>
      <c r="G1346" s="7" t="s">
        <v>3</v>
      </c>
    </row>
    <row r="1347" spans="1:7">
      <c r="A1347" s="7" t="s">
        <v>1006</v>
      </c>
      <c r="B1347" s="7" t="s">
        <v>36</v>
      </c>
      <c r="C1347" s="7" t="str">
        <f>VLOOKUP(B1347,Indice!$B$1:$C$22,2,0)</f>
        <v>ALERTAS</v>
      </c>
      <c r="D1347" s="7" t="str">
        <f>$A1347&amp;"-"&amp;$C1347&amp;"-"&amp;TEXT(COUNTIFS($A$2:$A1347,$A1347,$C$2:$C1347,$C1347),"000")</f>
        <v>F3-ALERTAS-408</v>
      </c>
      <c r="E1347" s="7" t="s">
        <v>1416</v>
      </c>
      <c r="F1347" s="7" t="s">
        <v>1372</v>
      </c>
      <c r="G1347" s="7" t="s">
        <v>3</v>
      </c>
    </row>
    <row r="1348" spans="1:7">
      <c r="A1348" s="7" t="s">
        <v>1006</v>
      </c>
      <c r="B1348" s="7" t="s">
        <v>36</v>
      </c>
      <c r="C1348" s="7" t="str">
        <f>VLOOKUP(B1348,Indice!$B$1:$C$22,2,0)</f>
        <v>ALERTAS</v>
      </c>
      <c r="D1348" s="7" t="str">
        <f>$A1348&amp;"-"&amp;$C1348&amp;"-"&amp;TEXT(COUNTIFS($A$2:$A1348,$A1348,$C$2:$C1348,$C1348),"000")</f>
        <v>F3-ALERTAS-409</v>
      </c>
      <c r="E1348" s="7" t="s">
        <v>1417</v>
      </c>
      <c r="F1348" s="7" t="s">
        <v>1372</v>
      </c>
      <c r="G1348" s="7" t="s">
        <v>3</v>
      </c>
    </row>
    <row r="1349" spans="1:7">
      <c r="A1349" s="7" t="s">
        <v>1006</v>
      </c>
      <c r="B1349" s="7" t="s">
        <v>36</v>
      </c>
      <c r="C1349" s="7" t="str">
        <f>VLOOKUP(B1349,Indice!$B$1:$C$22,2,0)</f>
        <v>ALERTAS</v>
      </c>
      <c r="D1349" s="7" t="str">
        <f>$A1349&amp;"-"&amp;$C1349&amp;"-"&amp;TEXT(COUNTIFS($A$2:$A1349,$A1349,$C$2:$C1349,$C1349),"000")</f>
        <v>F3-ALERTAS-410</v>
      </c>
      <c r="E1349" s="7" t="s">
        <v>1418</v>
      </c>
      <c r="F1349" s="7" t="s">
        <v>1372</v>
      </c>
      <c r="G1349" s="7" t="s">
        <v>3</v>
      </c>
    </row>
    <row r="1350" spans="1:7">
      <c r="A1350" s="7" t="s">
        <v>1006</v>
      </c>
      <c r="B1350" s="7" t="s">
        <v>36</v>
      </c>
      <c r="C1350" s="7" t="str">
        <f>VLOOKUP(B1350,Indice!$B$1:$C$22,2,0)</f>
        <v>ALERTAS</v>
      </c>
      <c r="D1350" s="7" t="str">
        <f>$A1350&amp;"-"&amp;$C1350&amp;"-"&amp;TEXT(COUNTIFS($A$2:$A1350,$A1350,$C$2:$C1350,$C1350),"000")</f>
        <v>F3-ALERTAS-411</v>
      </c>
      <c r="E1350" s="7" t="s">
        <v>1419</v>
      </c>
      <c r="F1350" s="7" t="s">
        <v>1372</v>
      </c>
      <c r="G1350" s="7" t="s">
        <v>3</v>
      </c>
    </row>
    <row r="1351" spans="1:7">
      <c r="A1351" s="7" t="s">
        <v>1006</v>
      </c>
      <c r="B1351" s="7" t="s">
        <v>36</v>
      </c>
      <c r="C1351" s="7" t="str">
        <f>VLOOKUP(B1351,Indice!$B$1:$C$22,2,0)</f>
        <v>ALERTAS</v>
      </c>
      <c r="D1351" s="7" t="str">
        <f>$A1351&amp;"-"&amp;$C1351&amp;"-"&amp;TEXT(COUNTIFS($A$2:$A1351,$A1351,$C$2:$C1351,$C1351),"000")</f>
        <v>F3-ALERTAS-412</v>
      </c>
      <c r="E1351" s="7" t="s">
        <v>1420</v>
      </c>
      <c r="F1351" s="7" t="s">
        <v>1372</v>
      </c>
      <c r="G1351" s="7" t="s">
        <v>3</v>
      </c>
    </row>
    <row r="1352" spans="1:7">
      <c r="A1352" s="7" t="s">
        <v>1006</v>
      </c>
      <c r="B1352" s="7" t="s">
        <v>36</v>
      </c>
      <c r="C1352" s="7" t="str">
        <f>VLOOKUP(B1352,Indice!$B$1:$C$22,2,0)</f>
        <v>ALERTAS</v>
      </c>
      <c r="D1352" s="7" t="str">
        <f>$A1352&amp;"-"&amp;$C1352&amp;"-"&amp;TEXT(COUNTIFS($A$2:$A1352,$A1352,$C$2:$C1352,$C1352),"000")</f>
        <v>F3-ALERTAS-413</v>
      </c>
      <c r="E1352" s="7" t="s">
        <v>1421</v>
      </c>
      <c r="F1352" s="7" t="s">
        <v>1372</v>
      </c>
      <c r="G1352" s="7" t="s">
        <v>3</v>
      </c>
    </row>
    <row r="1353" spans="1:7">
      <c r="A1353" s="7" t="s">
        <v>1006</v>
      </c>
      <c r="B1353" s="7" t="s">
        <v>36</v>
      </c>
      <c r="C1353" s="7" t="str">
        <f>VLOOKUP(B1353,Indice!$B$1:$C$22,2,0)</f>
        <v>ALERTAS</v>
      </c>
      <c r="D1353" s="7" t="str">
        <f>$A1353&amp;"-"&amp;$C1353&amp;"-"&amp;TEXT(COUNTIFS($A$2:$A1353,$A1353,$C$2:$C1353,$C1353),"000")</f>
        <v>F3-ALERTAS-414</v>
      </c>
      <c r="E1353" s="7" t="s">
        <v>1422</v>
      </c>
      <c r="F1353" s="7" t="s">
        <v>1372</v>
      </c>
      <c r="G1353" s="7" t="s">
        <v>3</v>
      </c>
    </row>
    <row r="1354" spans="1:7">
      <c r="A1354" s="7" t="s">
        <v>1006</v>
      </c>
      <c r="B1354" s="7" t="s">
        <v>36</v>
      </c>
      <c r="C1354" s="7" t="str">
        <f>VLOOKUP(B1354,Indice!$B$1:$C$22,2,0)</f>
        <v>ALERTAS</v>
      </c>
      <c r="D1354" s="7" t="str">
        <f>$A1354&amp;"-"&amp;$C1354&amp;"-"&amp;TEXT(COUNTIFS($A$2:$A1354,$A1354,$C$2:$C1354,$C1354),"000")</f>
        <v>F3-ALERTAS-415</v>
      </c>
      <c r="E1354" s="7" t="s">
        <v>1423</v>
      </c>
      <c r="F1354" s="7" t="s">
        <v>1372</v>
      </c>
      <c r="G1354" s="7" t="s">
        <v>3</v>
      </c>
    </row>
    <row r="1355" spans="1:7">
      <c r="A1355" s="7" t="s">
        <v>1006</v>
      </c>
      <c r="B1355" s="7" t="s">
        <v>36</v>
      </c>
      <c r="C1355" s="7" t="str">
        <f>VLOOKUP(B1355,Indice!$B$1:$C$22,2,0)</f>
        <v>ALERTAS</v>
      </c>
      <c r="D1355" s="7" t="str">
        <f>$A1355&amp;"-"&amp;$C1355&amp;"-"&amp;TEXT(COUNTIFS($A$2:$A1355,$A1355,$C$2:$C1355,$C1355),"000")</f>
        <v>F3-ALERTAS-416</v>
      </c>
      <c r="E1355" s="7" t="s">
        <v>1424</v>
      </c>
      <c r="F1355" s="7" t="s">
        <v>1372</v>
      </c>
      <c r="G1355" s="7" t="s">
        <v>3</v>
      </c>
    </row>
    <row r="1356" spans="1:7">
      <c r="A1356" s="7" t="s">
        <v>1006</v>
      </c>
      <c r="B1356" s="7" t="s">
        <v>36</v>
      </c>
      <c r="C1356" s="7" t="str">
        <f>VLOOKUP(B1356,Indice!$B$1:$C$22,2,0)</f>
        <v>ALERTAS</v>
      </c>
      <c r="D1356" s="7" t="str">
        <f>$A1356&amp;"-"&amp;$C1356&amp;"-"&amp;TEXT(COUNTIFS($A$2:$A1356,$A1356,$C$2:$C1356,$C1356),"000")</f>
        <v>F3-ALERTAS-417</v>
      </c>
      <c r="E1356" s="7" t="s">
        <v>1425</v>
      </c>
      <c r="F1356" s="7" t="s">
        <v>1372</v>
      </c>
      <c r="G1356" s="7" t="s">
        <v>3</v>
      </c>
    </row>
    <row r="1357" spans="1:7">
      <c r="A1357" s="7" t="s">
        <v>1006</v>
      </c>
      <c r="B1357" s="7" t="s">
        <v>36</v>
      </c>
      <c r="C1357" s="7" t="str">
        <f>VLOOKUP(B1357,Indice!$B$1:$C$22,2,0)</f>
        <v>ALERTAS</v>
      </c>
      <c r="D1357" s="7" t="str">
        <f>$A1357&amp;"-"&amp;$C1357&amp;"-"&amp;TEXT(COUNTIFS($A$2:$A1357,$A1357,$C$2:$C1357,$C1357),"000")</f>
        <v>F3-ALERTAS-418</v>
      </c>
      <c r="E1357" s="7" t="s">
        <v>1426</v>
      </c>
      <c r="F1357" s="7" t="s">
        <v>1372</v>
      </c>
      <c r="G1357" s="7" t="s">
        <v>3</v>
      </c>
    </row>
    <row r="1358" spans="1:7">
      <c r="A1358" s="7" t="s">
        <v>1006</v>
      </c>
      <c r="B1358" s="7" t="s">
        <v>36</v>
      </c>
      <c r="C1358" s="7" t="str">
        <f>VLOOKUP(B1358,Indice!$B$1:$C$22,2,0)</f>
        <v>ALERTAS</v>
      </c>
      <c r="D1358" s="7" t="str">
        <f>$A1358&amp;"-"&amp;$C1358&amp;"-"&amp;TEXT(COUNTIFS($A$2:$A1358,$A1358,$C$2:$C1358,$C1358),"000")</f>
        <v>F3-ALERTAS-419</v>
      </c>
      <c r="E1358" s="7" t="s">
        <v>1427</v>
      </c>
      <c r="F1358" s="7" t="s">
        <v>1372</v>
      </c>
      <c r="G1358" s="7" t="s">
        <v>3</v>
      </c>
    </row>
    <row r="1359" spans="1:7">
      <c r="A1359" s="7" t="s">
        <v>1006</v>
      </c>
      <c r="B1359" s="7" t="s">
        <v>36</v>
      </c>
      <c r="C1359" s="7" t="str">
        <f>VLOOKUP(B1359,Indice!$B$1:$C$22,2,0)</f>
        <v>ALERTAS</v>
      </c>
      <c r="D1359" s="7" t="str">
        <f>$A1359&amp;"-"&amp;$C1359&amp;"-"&amp;TEXT(COUNTIFS($A$2:$A1359,$A1359,$C$2:$C1359,$C1359),"000")</f>
        <v>F3-ALERTAS-420</v>
      </c>
      <c r="E1359" s="7" t="s">
        <v>1428</v>
      </c>
      <c r="F1359" s="7" t="s">
        <v>1372</v>
      </c>
      <c r="G1359" s="7" t="s">
        <v>3</v>
      </c>
    </row>
    <row r="1360" spans="1:7">
      <c r="A1360" s="7" t="s">
        <v>1006</v>
      </c>
      <c r="B1360" s="7" t="s">
        <v>36</v>
      </c>
      <c r="C1360" s="7" t="str">
        <f>VLOOKUP(B1360,Indice!$B$1:$C$22,2,0)</f>
        <v>ALERTAS</v>
      </c>
      <c r="D1360" s="7" t="str">
        <f>$A1360&amp;"-"&amp;$C1360&amp;"-"&amp;TEXT(COUNTIFS($A$2:$A1360,$A1360,$C$2:$C1360,$C1360),"000")</f>
        <v>F3-ALERTAS-421</v>
      </c>
      <c r="E1360" s="7" t="s">
        <v>1429</v>
      </c>
      <c r="F1360" s="7" t="s">
        <v>1372</v>
      </c>
      <c r="G1360" s="7" t="s">
        <v>3</v>
      </c>
    </row>
    <row r="1361" spans="1:7">
      <c r="A1361" s="7" t="s">
        <v>1006</v>
      </c>
      <c r="B1361" s="7" t="s">
        <v>36</v>
      </c>
      <c r="C1361" s="7" t="str">
        <f>VLOOKUP(B1361,Indice!$B$1:$C$22,2,0)</f>
        <v>ALERTAS</v>
      </c>
      <c r="D1361" s="7" t="str">
        <f>$A1361&amp;"-"&amp;$C1361&amp;"-"&amp;TEXT(COUNTIFS($A$2:$A1361,$A1361,$C$2:$C1361,$C1361),"000")</f>
        <v>F3-ALERTAS-422</v>
      </c>
      <c r="E1361" s="7" t="s">
        <v>1430</v>
      </c>
      <c r="F1361" s="7" t="s">
        <v>1372</v>
      </c>
      <c r="G1361" s="7" t="s">
        <v>3</v>
      </c>
    </row>
    <row r="1362" spans="1:7">
      <c r="A1362" s="7" t="s">
        <v>1006</v>
      </c>
      <c r="B1362" s="7" t="s">
        <v>36</v>
      </c>
      <c r="C1362" s="7" t="str">
        <f>VLOOKUP(B1362,Indice!$B$1:$C$22,2,0)</f>
        <v>ALERTAS</v>
      </c>
      <c r="D1362" s="7" t="str">
        <f>$A1362&amp;"-"&amp;$C1362&amp;"-"&amp;TEXT(COUNTIFS($A$2:$A1362,$A1362,$C$2:$C1362,$C1362),"000")</f>
        <v>F3-ALERTAS-423</v>
      </c>
      <c r="E1362" s="7" t="s">
        <v>1431</v>
      </c>
      <c r="F1362" s="7" t="s">
        <v>1372</v>
      </c>
      <c r="G1362" s="7" t="s">
        <v>3</v>
      </c>
    </row>
    <row r="1363" spans="1:7">
      <c r="A1363" s="7" t="s">
        <v>1006</v>
      </c>
      <c r="B1363" s="7" t="s">
        <v>36</v>
      </c>
      <c r="C1363" s="7" t="str">
        <f>VLOOKUP(B1363,Indice!$B$1:$C$22,2,0)</f>
        <v>ALERTAS</v>
      </c>
      <c r="D1363" s="7" t="str">
        <f>$A1363&amp;"-"&amp;$C1363&amp;"-"&amp;TEXT(COUNTIFS($A$2:$A1363,$A1363,$C$2:$C1363,$C1363),"000")</f>
        <v>F3-ALERTAS-424</v>
      </c>
      <c r="E1363" s="7" t="s">
        <v>1432</v>
      </c>
      <c r="F1363" s="7" t="s">
        <v>1372</v>
      </c>
      <c r="G1363" s="7" t="s">
        <v>3</v>
      </c>
    </row>
    <row r="1364" spans="1:7">
      <c r="A1364" s="7" t="s">
        <v>1006</v>
      </c>
      <c r="B1364" s="7" t="s">
        <v>36</v>
      </c>
      <c r="C1364" s="7" t="str">
        <f>VLOOKUP(B1364,Indice!$B$1:$C$22,2,0)</f>
        <v>ALERTAS</v>
      </c>
      <c r="D1364" s="7" t="str">
        <f>$A1364&amp;"-"&amp;$C1364&amp;"-"&amp;TEXT(COUNTIFS($A$2:$A1364,$A1364,$C$2:$C1364,$C1364),"000")</f>
        <v>F3-ALERTAS-425</v>
      </c>
      <c r="E1364" s="7" t="s">
        <v>1433</v>
      </c>
      <c r="F1364" s="7" t="s">
        <v>1372</v>
      </c>
      <c r="G1364" s="7" t="s">
        <v>3</v>
      </c>
    </row>
    <row r="1365" spans="1:7">
      <c r="A1365" s="7" t="s">
        <v>1006</v>
      </c>
      <c r="B1365" s="7" t="s">
        <v>38</v>
      </c>
      <c r="C1365" s="7" t="str">
        <f>VLOOKUP(B1365,Indice!$B$1:$C$22,2,0)</f>
        <v>AMAZONUW</v>
      </c>
      <c r="D1365" s="7" t="str">
        <f>$A1365&amp;"-"&amp;$C1365&amp;"-"&amp;TEXT(COUNTIFS($A$2:$A1365,$A1365,$C$2:$C1365,$C1365),"000")</f>
        <v>F3-AMAZONUW-001</v>
      </c>
      <c r="E1365" s="7" t="s">
        <v>1434</v>
      </c>
      <c r="F1365" s="7" t="s">
        <v>1435</v>
      </c>
      <c r="G1365" s="7" t="s">
        <v>896</v>
      </c>
    </row>
    <row r="1366" spans="1:7">
      <c r="A1366" s="7" t="s">
        <v>1006</v>
      </c>
      <c r="B1366" s="7" t="s">
        <v>38</v>
      </c>
      <c r="C1366" s="7" t="str">
        <f>VLOOKUP(B1366,Indice!$B$1:$C$22,2,0)</f>
        <v>AMAZONUW</v>
      </c>
      <c r="D1366" s="7" t="str">
        <f>$A1366&amp;"-"&amp;$C1366&amp;"-"&amp;TEXT(COUNTIFS($A$2:$A1366,$A1366,$C$2:$C1366,$C1366),"000")</f>
        <v>F3-AMAZONUW-002</v>
      </c>
      <c r="E1366" s="7" t="s">
        <v>1434</v>
      </c>
      <c r="F1366" s="7" t="s">
        <v>1436</v>
      </c>
      <c r="G1366" s="7" t="s">
        <v>896</v>
      </c>
    </row>
    <row r="1367" spans="1:7">
      <c r="A1367" s="7" t="s">
        <v>1006</v>
      </c>
      <c r="B1367" s="7" t="s">
        <v>38</v>
      </c>
      <c r="C1367" s="7" t="str">
        <f>VLOOKUP(B1367,Indice!$B$1:$C$22,2,0)</f>
        <v>AMAZONUW</v>
      </c>
      <c r="D1367" s="7" t="str">
        <f>$A1367&amp;"-"&amp;$C1367&amp;"-"&amp;TEXT(COUNTIFS($A$2:$A1367,$A1367,$C$2:$C1367,$C1367),"000")</f>
        <v>F3-AMAZONUW-003</v>
      </c>
      <c r="E1367" s="7" t="s">
        <v>1434</v>
      </c>
      <c r="F1367" s="7" t="s">
        <v>1437</v>
      </c>
      <c r="G1367" s="7" t="s">
        <v>896</v>
      </c>
    </row>
    <row r="1368" spans="1:7">
      <c r="A1368" s="7" t="s">
        <v>1006</v>
      </c>
      <c r="B1368" s="7" t="s">
        <v>38</v>
      </c>
      <c r="C1368" s="7" t="str">
        <f>VLOOKUP(B1368,Indice!$B$1:$C$22,2,0)</f>
        <v>AMAZONUW</v>
      </c>
      <c r="D1368" s="7" t="str">
        <f>$A1368&amp;"-"&amp;$C1368&amp;"-"&amp;TEXT(COUNTIFS($A$2:$A1368,$A1368,$C$2:$C1368,$C1368),"000")</f>
        <v>F3-AMAZONUW-004</v>
      </c>
      <c r="E1368" s="7" t="s">
        <v>1434</v>
      </c>
      <c r="F1368" s="7" t="s">
        <v>1438</v>
      </c>
      <c r="G1368" s="7" t="s">
        <v>896</v>
      </c>
    </row>
    <row r="1369" spans="1:7">
      <c r="A1369" s="7" t="s">
        <v>1006</v>
      </c>
      <c r="B1369" s="7" t="s">
        <v>38</v>
      </c>
      <c r="C1369" s="7" t="str">
        <f>VLOOKUP(B1369,Indice!$B$1:$C$22,2,0)</f>
        <v>AMAZONUW</v>
      </c>
      <c r="D1369" s="7" t="str">
        <f>$A1369&amp;"-"&amp;$C1369&amp;"-"&amp;TEXT(COUNTIFS($A$2:$A1369,$A1369,$C$2:$C1369,$C1369),"000")</f>
        <v>F3-AMAZONUW-005</v>
      </c>
      <c r="E1369" s="7" t="s">
        <v>1439</v>
      </c>
      <c r="F1369" s="7" t="s">
        <v>1435</v>
      </c>
      <c r="G1369" s="7" t="s">
        <v>896</v>
      </c>
    </row>
    <row r="1370" spans="1:7">
      <c r="A1370" s="7" t="s">
        <v>1006</v>
      </c>
      <c r="B1370" s="7" t="s">
        <v>38</v>
      </c>
      <c r="C1370" s="7" t="str">
        <f>VLOOKUP(B1370,Indice!$B$1:$C$22,2,0)</f>
        <v>AMAZONUW</v>
      </c>
      <c r="D1370" s="7" t="str">
        <f>$A1370&amp;"-"&amp;$C1370&amp;"-"&amp;TEXT(COUNTIFS($A$2:$A1370,$A1370,$C$2:$C1370,$C1370),"000")</f>
        <v>F3-AMAZONUW-006</v>
      </c>
      <c r="E1370" s="7" t="s">
        <v>1439</v>
      </c>
      <c r="F1370" s="7" t="s">
        <v>1436</v>
      </c>
      <c r="G1370" s="7" t="s">
        <v>896</v>
      </c>
    </row>
    <row r="1371" spans="1:7">
      <c r="A1371" s="7" t="s">
        <v>1006</v>
      </c>
      <c r="B1371" s="7" t="s">
        <v>38</v>
      </c>
      <c r="C1371" s="7" t="str">
        <f>VLOOKUP(B1371,Indice!$B$1:$C$22,2,0)</f>
        <v>AMAZONUW</v>
      </c>
      <c r="D1371" s="7" t="str">
        <f>$A1371&amp;"-"&amp;$C1371&amp;"-"&amp;TEXT(COUNTIFS($A$2:$A1371,$A1371,$C$2:$C1371,$C1371),"000")</f>
        <v>F3-AMAZONUW-007</v>
      </c>
      <c r="E1371" s="7" t="s">
        <v>1439</v>
      </c>
      <c r="F1371" s="7" t="s">
        <v>1440</v>
      </c>
      <c r="G1371" s="7" t="s">
        <v>896</v>
      </c>
    </row>
    <row r="1372" spans="1:7">
      <c r="A1372" s="7" t="s">
        <v>1006</v>
      </c>
      <c r="B1372" s="7" t="s">
        <v>38</v>
      </c>
      <c r="C1372" s="7" t="str">
        <f>VLOOKUP(B1372,Indice!$B$1:$C$22,2,0)</f>
        <v>AMAZONUW</v>
      </c>
      <c r="D1372" s="7" t="str">
        <f>$A1372&amp;"-"&amp;$C1372&amp;"-"&amp;TEXT(COUNTIFS($A$2:$A1372,$A1372,$C$2:$C1372,$C1372),"000")</f>
        <v>F3-AMAZONUW-008</v>
      </c>
      <c r="E1372" s="7" t="s">
        <v>1439</v>
      </c>
      <c r="F1372" s="7" t="s">
        <v>1437</v>
      </c>
      <c r="G1372" s="7" t="s">
        <v>896</v>
      </c>
    </row>
    <row r="1373" spans="1:7">
      <c r="A1373" s="7" t="s">
        <v>1006</v>
      </c>
      <c r="B1373" s="7" t="s">
        <v>38</v>
      </c>
      <c r="C1373" s="7" t="str">
        <f>VLOOKUP(B1373,Indice!$B$1:$C$22,2,0)</f>
        <v>AMAZONUW</v>
      </c>
      <c r="D1373" s="7" t="str">
        <f>$A1373&amp;"-"&amp;$C1373&amp;"-"&amp;TEXT(COUNTIFS($A$2:$A1373,$A1373,$C$2:$C1373,$C1373),"000")</f>
        <v>F3-AMAZONUW-009</v>
      </c>
      <c r="E1373" s="7" t="s">
        <v>1439</v>
      </c>
      <c r="F1373" s="7" t="s">
        <v>1438</v>
      </c>
      <c r="G1373" s="7" t="s">
        <v>896</v>
      </c>
    </row>
    <row r="1374" spans="1:7">
      <c r="A1374" s="7" t="s">
        <v>1006</v>
      </c>
      <c r="B1374" s="7" t="s">
        <v>38</v>
      </c>
      <c r="C1374" s="7" t="str">
        <f>VLOOKUP(B1374,Indice!$B$1:$C$22,2,0)</f>
        <v>AMAZONUW</v>
      </c>
      <c r="D1374" s="7" t="str">
        <f>$A1374&amp;"-"&amp;$C1374&amp;"-"&amp;TEXT(COUNTIFS($A$2:$A1374,$A1374,$C$2:$C1374,$C1374),"000")</f>
        <v>F3-AMAZONUW-010</v>
      </c>
      <c r="E1374" s="7" t="s">
        <v>1441</v>
      </c>
      <c r="F1374" s="7" t="s">
        <v>1435</v>
      </c>
      <c r="G1374" s="7" t="s">
        <v>896</v>
      </c>
    </row>
    <row r="1375" spans="1:7">
      <c r="A1375" s="7" t="s">
        <v>1006</v>
      </c>
      <c r="B1375" s="7" t="s">
        <v>38</v>
      </c>
      <c r="C1375" s="7" t="str">
        <f>VLOOKUP(B1375,Indice!$B$1:$C$22,2,0)</f>
        <v>AMAZONUW</v>
      </c>
      <c r="D1375" s="7" t="str">
        <f>$A1375&amp;"-"&amp;$C1375&amp;"-"&amp;TEXT(COUNTIFS($A$2:$A1375,$A1375,$C$2:$C1375,$C1375),"000")</f>
        <v>F3-AMAZONUW-011</v>
      </c>
      <c r="E1375" s="7" t="s">
        <v>1441</v>
      </c>
      <c r="F1375" s="7" t="s">
        <v>1436</v>
      </c>
      <c r="G1375" s="7" t="s">
        <v>896</v>
      </c>
    </row>
    <row r="1376" spans="1:7">
      <c r="A1376" s="7" t="s">
        <v>1006</v>
      </c>
      <c r="B1376" s="7" t="s">
        <v>38</v>
      </c>
      <c r="C1376" s="7" t="str">
        <f>VLOOKUP(B1376,Indice!$B$1:$C$22,2,0)</f>
        <v>AMAZONUW</v>
      </c>
      <c r="D1376" s="7" t="str">
        <f>$A1376&amp;"-"&amp;$C1376&amp;"-"&amp;TEXT(COUNTIFS($A$2:$A1376,$A1376,$C$2:$C1376,$C1376),"000")</f>
        <v>F3-AMAZONUW-012</v>
      </c>
      <c r="E1376" s="7" t="s">
        <v>1441</v>
      </c>
      <c r="F1376" s="7" t="s">
        <v>1440</v>
      </c>
      <c r="G1376" s="7" t="s">
        <v>896</v>
      </c>
    </row>
    <row r="1377" spans="1:7">
      <c r="A1377" s="7" t="s">
        <v>1006</v>
      </c>
      <c r="B1377" s="7" t="s">
        <v>38</v>
      </c>
      <c r="C1377" s="7" t="str">
        <f>VLOOKUP(B1377,Indice!$B$1:$C$22,2,0)</f>
        <v>AMAZONUW</v>
      </c>
      <c r="D1377" s="7" t="str">
        <f>$A1377&amp;"-"&amp;$C1377&amp;"-"&amp;TEXT(COUNTIFS($A$2:$A1377,$A1377,$C$2:$C1377,$C1377),"000")</f>
        <v>F3-AMAZONUW-013</v>
      </c>
      <c r="E1377" s="7" t="s">
        <v>1441</v>
      </c>
      <c r="F1377" s="7" t="s">
        <v>1438</v>
      </c>
      <c r="G1377" s="7" t="s">
        <v>896</v>
      </c>
    </row>
    <row r="1378" spans="1:7">
      <c r="A1378" s="7" t="s">
        <v>1006</v>
      </c>
      <c r="B1378" s="7" t="s">
        <v>38</v>
      </c>
      <c r="C1378" s="7" t="str">
        <f>VLOOKUP(B1378,Indice!$B$1:$C$22,2,0)</f>
        <v>AMAZONUW</v>
      </c>
      <c r="D1378" s="7" t="str">
        <f>$A1378&amp;"-"&amp;$C1378&amp;"-"&amp;TEXT(COUNTIFS($A$2:$A1378,$A1378,$C$2:$C1378,$C1378),"000")</f>
        <v>F3-AMAZONUW-014</v>
      </c>
      <c r="E1378" s="7" t="s">
        <v>1442</v>
      </c>
      <c r="F1378" s="7" t="s">
        <v>1443</v>
      </c>
      <c r="G1378" s="7" t="s">
        <v>896</v>
      </c>
    </row>
    <row r="1379" spans="1:7">
      <c r="A1379" s="7" t="s">
        <v>1006</v>
      </c>
      <c r="B1379" s="7" t="s">
        <v>38</v>
      </c>
      <c r="C1379" s="7" t="str">
        <f>VLOOKUP(B1379,Indice!$B$1:$C$22,2,0)</f>
        <v>AMAZONUW</v>
      </c>
      <c r="D1379" s="7" t="str">
        <f>$A1379&amp;"-"&amp;$C1379&amp;"-"&amp;TEXT(COUNTIFS($A$2:$A1379,$A1379,$C$2:$C1379,$C1379),"000")</f>
        <v>F3-AMAZONUW-015</v>
      </c>
      <c r="E1379" s="7" t="s">
        <v>1444</v>
      </c>
      <c r="F1379" s="7" t="s">
        <v>1445</v>
      </c>
      <c r="G1379" s="7" t="s">
        <v>896</v>
      </c>
    </row>
    <row r="1380" spans="1:7">
      <c r="A1380" s="7" t="s">
        <v>1006</v>
      </c>
      <c r="B1380" s="7" t="s">
        <v>38</v>
      </c>
      <c r="C1380" s="7" t="str">
        <f>VLOOKUP(B1380,Indice!$B$1:$C$22,2,0)</f>
        <v>AMAZONUW</v>
      </c>
      <c r="D1380" s="7" t="str">
        <f>$A1380&amp;"-"&amp;$C1380&amp;"-"&amp;TEXT(COUNTIFS($A$2:$A1380,$A1380,$C$2:$C1380,$C1380),"000")</f>
        <v>F3-AMAZONUW-016</v>
      </c>
      <c r="E1380" s="7" t="s">
        <v>1444</v>
      </c>
      <c r="F1380" s="7" t="s">
        <v>1446</v>
      </c>
      <c r="G1380" s="7" t="s">
        <v>896</v>
      </c>
    </row>
    <row r="1381" spans="1:7">
      <c r="A1381" s="7" t="s">
        <v>1006</v>
      </c>
      <c r="B1381" s="7" t="s">
        <v>38</v>
      </c>
      <c r="C1381" s="7" t="str">
        <f>VLOOKUP(B1381,Indice!$B$1:$C$22,2,0)</f>
        <v>AMAZONUW</v>
      </c>
      <c r="D1381" s="7" t="str">
        <f>$A1381&amp;"-"&amp;$C1381&amp;"-"&amp;TEXT(COUNTIFS($A$2:$A1381,$A1381,$C$2:$C1381,$C1381),"000")</f>
        <v>F3-AMAZONUW-017</v>
      </c>
      <c r="E1381" s="7" t="s">
        <v>1444</v>
      </c>
      <c r="F1381" s="7" t="s">
        <v>1447</v>
      </c>
      <c r="G1381" s="7" t="s">
        <v>896</v>
      </c>
    </row>
    <row r="1382" spans="1:7">
      <c r="A1382" s="7" t="s">
        <v>1006</v>
      </c>
      <c r="B1382" s="7" t="s">
        <v>38</v>
      </c>
      <c r="C1382" s="7" t="str">
        <f>VLOOKUP(B1382,Indice!$B$1:$C$22,2,0)</f>
        <v>AMAZONUW</v>
      </c>
      <c r="D1382" s="7" t="str">
        <f>$A1382&amp;"-"&amp;$C1382&amp;"-"&amp;TEXT(COUNTIFS($A$2:$A1382,$A1382,$C$2:$C1382,$C1382),"000")</f>
        <v>F3-AMAZONUW-018</v>
      </c>
      <c r="E1382" s="7" t="s">
        <v>1444</v>
      </c>
      <c r="F1382" s="7" t="s">
        <v>1448</v>
      </c>
      <c r="G1382" s="7" t="s">
        <v>896</v>
      </c>
    </row>
    <row r="1383" spans="1:7">
      <c r="A1383" s="7" t="s">
        <v>1006</v>
      </c>
      <c r="B1383" s="7" t="s">
        <v>38</v>
      </c>
      <c r="C1383" s="7" t="str">
        <f>VLOOKUP(B1383,Indice!$B$1:$C$22,2,0)</f>
        <v>AMAZONUW</v>
      </c>
      <c r="D1383" s="7" t="str">
        <f>$A1383&amp;"-"&amp;$C1383&amp;"-"&amp;TEXT(COUNTIFS($A$2:$A1383,$A1383,$C$2:$C1383,$C1383),"000")</f>
        <v>F3-AMAZONUW-019</v>
      </c>
      <c r="E1383" s="7" t="s">
        <v>1444</v>
      </c>
      <c r="F1383" s="7" t="s">
        <v>1449</v>
      </c>
      <c r="G1383" s="7" t="s">
        <v>896</v>
      </c>
    </row>
    <row r="1384" spans="1:7">
      <c r="A1384" s="7" t="s">
        <v>1006</v>
      </c>
      <c r="B1384" s="7" t="s">
        <v>38</v>
      </c>
      <c r="C1384" s="7" t="str">
        <f>VLOOKUP(B1384,Indice!$B$1:$C$22,2,0)</f>
        <v>AMAZONUW</v>
      </c>
      <c r="D1384" s="7" t="str">
        <f>$A1384&amp;"-"&amp;$C1384&amp;"-"&amp;TEXT(COUNTIFS($A$2:$A1384,$A1384,$C$2:$C1384,$C1384),"000")</f>
        <v>F3-AMAZONUW-020</v>
      </c>
      <c r="E1384" s="7" t="s">
        <v>1444</v>
      </c>
      <c r="F1384" s="7" t="s">
        <v>1450</v>
      </c>
      <c r="G1384" s="7" t="s">
        <v>896</v>
      </c>
    </row>
    <row r="1385" spans="1:7">
      <c r="A1385" s="7" t="s">
        <v>1006</v>
      </c>
      <c r="B1385" s="7" t="s">
        <v>38</v>
      </c>
      <c r="C1385" s="7" t="str">
        <f>VLOOKUP(B1385,Indice!$B$1:$C$22,2,0)</f>
        <v>AMAZONUW</v>
      </c>
      <c r="D1385" s="7" t="str">
        <f>$A1385&amp;"-"&amp;$C1385&amp;"-"&amp;TEXT(COUNTIFS($A$2:$A1385,$A1385,$C$2:$C1385,$C1385),"000")</f>
        <v>F3-AMAZONUW-021</v>
      </c>
      <c r="E1385" s="7" t="s">
        <v>1444</v>
      </c>
      <c r="F1385" s="7" t="s">
        <v>1451</v>
      </c>
      <c r="G1385" s="7" t="s">
        <v>896</v>
      </c>
    </row>
    <row r="1386" spans="1:7">
      <c r="A1386" s="7" t="s">
        <v>1006</v>
      </c>
      <c r="B1386" s="7" t="s">
        <v>38</v>
      </c>
      <c r="C1386" s="7" t="str">
        <f>VLOOKUP(B1386,Indice!$B$1:$C$22,2,0)</f>
        <v>AMAZONUW</v>
      </c>
      <c r="D1386" s="7" t="str">
        <f>$A1386&amp;"-"&amp;$C1386&amp;"-"&amp;TEXT(COUNTIFS($A$2:$A1386,$A1386,$C$2:$C1386,$C1386),"000")</f>
        <v>F3-AMAZONUW-022</v>
      </c>
      <c r="E1386" s="7" t="s">
        <v>1444</v>
      </c>
      <c r="F1386" s="7" t="s">
        <v>1452</v>
      </c>
      <c r="G1386" s="7" t="s">
        <v>896</v>
      </c>
    </row>
    <row r="1387" spans="1:7">
      <c r="A1387" s="7" t="s">
        <v>1006</v>
      </c>
      <c r="B1387" s="7" t="s">
        <v>38</v>
      </c>
      <c r="C1387" s="7" t="str">
        <f>VLOOKUP(B1387,Indice!$B$1:$C$22,2,0)</f>
        <v>AMAZONUW</v>
      </c>
      <c r="D1387" s="7" t="str">
        <f>$A1387&amp;"-"&amp;$C1387&amp;"-"&amp;TEXT(COUNTIFS($A$2:$A1387,$A1387,$C$2:$C1387,$C1387),"000")</f>
        <v>F3-AMAZONUW-023</v>
      </c>
      <c r="E1387" s="7" t="s">
        <v>1453</v>
      </c>
      <c r="F1387" s="7" t="s">
        <v>1445</v>
      </c>
      <c r="G1387" s="7" t="s">
        <v>896</v>
      </c>
    </row>
    <row r="1388" spans="1:7">
      <c r="A1388" s="7" t="s">
        <v>1006</v>
      </c>
      <c r="B1388" s="7" t="s">
        <v>38</v>
      </c>
      <c r="C1388" s="7" t="str">
        <f>VLOOKUP(B1388,Indice!$B$1:$C$22,2,0)</f>
        <v>AMAZONUW</v>
      </c>
      <c r="D1388" s="7" t="str">
        <f>$A1388&amp;"-"&amp;$C1388&amp;"-"&amp;TEXT(COUNTIFS($A$2:$A1388,$A1388,$C$2:$C1388,$C1388),"000")</f>
        <v>F3-AMAZONUW-024</v>
      </c>
      <c r="E1388" s="7" t="s">
        <v>1453</v>
      </c>
      <c r="F1388" s="7" t="s">
        <v>1446</v>
      </c>
      <c r="G1388" s="7" t="s">
        <v>896</v>
      </c>
    </row>
    <row r="1389" spans="1:7">
      <c r="A1389" s="7" t="s">
        <v>1006</v>
      </c>
      <c r="B1389" s="7" t="s">
        <v>38</v>
      </c>
      <c r="C1389" s="7" t="str">
        <f>VLOOKUP(B1389,Indice!$B$1:$C$22,2,0)</f>
        <v>AMAZONUW</v>
      </c>
      <c r="D1389" s="7" t="str">
        <f>$A1389&amp;"-"&amp;$C1389&amp;"-"&amp;TEXT(COUNTIFS($A$2:$A1389,$A1389,$C$2:$C1389,$C1389),"000")</f>
        <v>F3-AMAZONUW-025</v>
      </c>
      <c r="E1389" s="7" t="s">
        <v>1453</v>
      </c>
      <c r="F1389" s="7" t="s">
        <v>1447</v>
      </c>
      <c r="G1389" s="7" t="s">
        <v>896</v>
      </c>
    </row>
    <row r="1390" spans="1:7">
      <c r="A1390" s="7" t="s">
        <v>1006</v>
      </c>
      <c r="B1390" s="7" t="s">
        <v>38</v>
      </c>
      <c r="C1390" s="7" t="str">
        <f>VLOOKUP(B1390,Indice!$B$1:$C$22,2,0)</f>
        <v>AMAZONUW</v>
      </c>
      <c r="D1390" s="7" t="str">
        <f>$A1390&amp;"-"&amp;$C1390&amp;"-"&amp;TEXT(COUNTIFS($A$2:$A1390,$A1390,$C$2:$C1390,$C1390),"000")</f>
        <v>F3-AMAZONUW-026</v>
      </c>
      <c r="E1390" s="7" t="s">
        <v>1453</v>
      </c>
      <c r="F1390" s="7" t="s">
        <v>1448</v>
      </c>
      <c r="G1390" s="7" t="s">
        <v>896</v>
      </c>
    </row>
    <row r="1391" spans="1:7">
      <c r="A1391" s="7" t="s">
        <v>1006</v>
      </c>
      <c r="B1391" s="7" t="s">
        <v>38</v>
      </c>
      <c r="C1391" s="7" t="str">
        <f>VLOOKUP(B1391,Indice!$B$1:$C$22,2,0)</f>
        <v>AMAZONUW</v>
      </c>
      <c r="D1391" s="7" t="str">
        <f>$A1391&amp;"-"&amp;$C1391&amp;"-"&amp;TEXT(COUNTIFS($A$2:$A1391,$A1391,$C$2:$C1391,$C1391),"000")</f>
        <v>F3-AMAZONUW-027</v>
      </c>
      <c r="E1391" s="7" t="s">
        <v>1453</v>
      </c>
      <c r="F1391" s="7" t="s">
        <v>1449</v>
      </c>
      <c r="G1391" s="7" t="s">
        <v>896</v>
      </c>
    </row>
    <row r="1392" spans="1:7">
      <c r="A1392" s="7" t="s">
        <v>1006</v>
      </c>
      <c r="B1392" s="7" t="s">
        <v>38</v>
      </c>
      <c r="C1392" s="7" t="str">
        <f>VLOOKUP(B1392,Indice!$B$1:$C$22,2,0)</f>
        <v>AMAZONUW</v>
      </c>
      <c r="D1392" s="7" t="str">
        <f>$A1392&amp;"-"&amp;$C1392&amp;"-"&amp;TEXT(COUNTIFS($A$2:$A1392,$A1392,$C$2:$C1392,$C1392),"000")</f>
        <v>F3-AMAZONUW-028</v>
      </c>
      <c r="E1392" s="7" t="s">
        <v>1453</v>
      </c>
      <c r="F1392" s="7" t="s">
        <v>1450</v>
      </c>
      <c r="G1392" s="7" t="s">
        <v>896</v>
      </c>
    </row>
    <row r="1393" spans="1:7">
      <c r="A1393" s="7" t="s">
        <v>1006</v>
      </c>
      <c r="B1393" s="7" t="s">
        <v>38</v>
      </c>
      <c r="C1393" s="7" t="str">
        <f>VLOOKUP(B1393,Indice!$B$1:$C$22,2,0)</f>
        <v>AMAZONUW</v>
      </c>
      <c r="D1393" s="7" t="str">
        <f>$A1393&amp;"-"&amp;$C1393&amp;"-"&amp;TEXT(COUNTIFS($A$2:$A1393,$A1393,$C$2:$C1393,$C1393),"000")</f>
        <v>F3-AMAZONUW-029</v>
      </c>
      <c r="E1393" s="7" t="s">
        <v>1453</v>
      </c>
      <c r="F1393" s="7" t="s">
        <v>1451</v>
      </c>
      <c r="G1393" s="7" t="s">
        <v>896</v>
      </c>
    </row>
    <row r="1394" spans="1:7">
      <c r="A1394" s="7" t="s">
        <v>1006</v>
      </c>
      <c r="B1394" s="7" t="s">
        <v>38</v>
      </c>
      <c r="C1394" s="7" t="str">
        <f>VLOOKUP(B1394,Indice!$B$1:$C$22,2,0)</f>
        <v>AMAZONUW</v>
      </c>
      <c r="D1394" s="7" t="str">
        <f>$A1394&amp;"-"&amp;$C1394&amp;"-"&amp;TEXT(COUNTIFS($A$2:$A1394,$A1394,$C$2:$C1394,$C1394),"000")</f>
        <v>F3-AMAZONUW-030</v>
      </c>
      <c r="E1394" s="7" t="s">
        <v>1453</v>
      </c>
      <c r="F1394" s="7" t="s">
        <v>1452</v>
      </c>
      <c r="G1394" s="7" t="s">
        <v>896</v>
      </c>
    </row>
    <row r="1395" spans="1:7">
      <c r="A1395" s="7" t="s">
        <v>1006</v>
      </c>
      <c r="B1395" s="7" t="s">
        <v>38</v>
      </c>
      <c r="C1395" s="7" t="str">
        <f>VLOOKUP(B1395,Indice!$B$1:$C$22,2,0)</f>
        <v>AMAZONUW</v>
      </c>
      <c r="D1395" s="7" t="str">
        <f>$A1395&amp;"-"&amp;$C1395&amp;"-"&amp;TEXT(COUNTIFS($A$2:$A1395,$A1395,$C$2:$C1395,$C1395),"000")</f>
        <v>F3-AMAZONUW-031</v>
      </c>
      <c r="E1395" s="7" t="s">
        <v>1454</v>
      </c>
      <c r="F1395" s="7" t="s">
        <v>1445</v>
      </c>
      <c r="G1395" s="7" t="s">
        <v>896</v>
      </c>
    </row>
    <row r="1396" spans="1:7">
      <c r="A1396" s="7" t="s">
        <v>1006</v>
      </c>
      <c r="B1396" s="7" t="s">
        <v>38</v>
      </c>
      <c r="C1396" s="7" t="str">
        <f>VLOOKUP(B1396,Indice!$B$1:$C$22,2,0)</f>
        <v>AMAZONUW</v>
      </c>
      <c r="D1396" s="7" t="str">
        <f>$A1396&amp;"-"&amp;$C1396&amp;"-"&amp;TEXT(COUNTIFS($A$2:$A1396,$A1396,$C$2:$C1396,$C1396),"000")</f>
        <v>F3-AMAZONUW-032</v>
      </c>
      <c r="E1396" s="7" t="s">
        <v>1454</v>
      </c>
      <c r="F1396" s="7" t="s">
        <v>1446</v>
      </c>
      <c r="G1396" s="7" t="s">
        <v>896</v>
      </c>
    </row>
    <row r="1397" spans="1:7">
      <c r="A1397" s="7" t="s">
        <v>1006</v>
      </c>
      <c r="B1397" s="7" t="s">
        <v>38</v>
      </c>
      <c r="C1397" s="7" t="str">
        <f>VLOOKUP(B1397,Indice!$B$1:$C$22,2,0)</f>
        <v>AMAZONUW</v>
      </c>
      <c r="D1397" s="7" t="str">
        <f>$A1397&amp;"-"&amp;$C1397&amp;"-"&amp;TEXT(COUNTIFS($A$2:$A1397,$A1397,$C$2:$C1397,$C1397),"000")</f>
        <v>F3-AMAZONUW-033</v>
      </c>
      <c r="E1397" s="7" t="s">
        <v>1454</v>
      </c>
      <c r="F1397" s="7" t="s">
        <v>1447</v>
      </c>
      <c r="G1397" s="7" t="s">
        <v>896</v>
      </c>
    </row>
    <row r="1398" spans="1:7">
      <c r="A1398" s="7" t="s">
        <v>1006</v>
      </c>
      <c r="B1398" s="7" t="s">
        <v>38</v>
      </c>
      <c r="C1398" s="7" t="str">
        <f>VLOOKUP(B1398,Indice!$B$1:$C$22,2,0)</f>
        <v>AMAZONUW</v>
      </c>
      <c r="D1398" s="7" t="str">
        <f>$A1398&amp;"-"&amp;$C1398&amp;"-"&amp;TEXT(COUNTIFS($A$2:$A1398,$A1398,$C$2:$C1398,$C1398),"000")</f>
        <v>F3-AMAZONUW-034</v>
      </c>
      <c r="E1398" s="7" t="s">
        <v>1454</v>
      </c>
      <c r="F1398" s="7" t="s">
        <v>1448</v>
      </c>
      <c r="G1398" s="7" t="s">
        <v>896</v>
      </c>
    </row>
    <row r="1399" spans="1:7">
      <c r="A1399" s="7" t="s">
        <v>1006</v>
      </c>
      <c r="B1399" s="7" t="s">
        <v>38</v>
      </c>
      <c r="C1399" s="7" t="str">
        <f>VLOOKUP(B1399,Indice!$B$1:$C$22,2,0)</f>
        <v>AMAZONUW</v>
      </c>
      <c r="D1399" s="7" t="str">
        <f>$A1399&amp;"-"&amp;$C1399&amp;"-"&amp;TEXT(COUNTIFS($A$2:$A1399,$A1399,$C$2:$C1399,$C1399),"000")</f>
        <v>F3-AMAZONUW-035</v>
      </c>
      <c r="E1399" s="7" t="s">
        <v>1454</v>
      </c>
      <c r="F1399" s="7" t="s">
        <v>1449</v>
      </c>
      <c r="G1399" s="7" t="s">
        <v>896</v>
      </c>
    </row>
    <row r="1400" spans="1:7">
      <c r="A1400" s="7" t="s">
        <v>1006</v>
      </c>
      <c r="B1400" s="7" t="s">
        <v>38</v>
      </c>
      <c r="C1400" s="7" t="str">
        <f>VLOOKUP(B1400,Indice!$B$1:$C$22,2,0)</f>
        <v>AMAZONUW</v>
      </c>
      <c r="D1400" s="7" t="str">
        <f>$A1400&amp;"-"&amp;$C1400&amp;"-"&amp;TEXT(COUNTIFS($A$2:$A1400,$A1400,$C$2:$C1400,$C1400),"000")</f>
        <v>F3-AMAZONUW-036</v>
      </c>
      <c r="E1400" s="7" t="s">
        <v>1454</v>
      </c>
      <c r="F1400" s="7" t="s">
        <v>1450</v>
      </c>
      <c r="G1400" s="7" t="s">
        <v>896</v>
      </c>
    </row>
    <row r="1401" spans="1:7">
      <c r="A1401" s="7" t="s">
        <v>1006</v>
      </c>
      <c r="B1401" s="7" t="s">
        <v>38</v>
      </c>
      <c r="C1401" s="7" t="str">
        <f>VLOOKUP(B1401,Indice!$B$1:$C$22,2,0)</f>
        <v>AMAZONUW</v>
      </c>
      <c r="D1401" s="7" t="str">
        <f>$A1401&amp;"-"&amp;$C1401&amp;"-"&amp;TEXT(COUNTIFS($A$2:$A1401,$A1401,$C$2:$C1401,$C1401),"000")</f>
        <v>F3-AMAZONUW-037</v>
      </c>
      <c r="E1401" s="7" t="s">
        <v>1454</v>
      </c>
      <c r="F1401" s="7" t="s">
        <v>1451</v>
      </c>
      <c r="G1401" s="7" t="s">
        <v>896</v>
      </c>
    </row>
    <row r="1402" spans="1:7">
      <c r="A1402" s="7" t="s">
        <v>1006</v>
      </c>
      <c r="B1402" s="7" t="s">
        <v>38</v>
      </c>
      <c r="C1402" s="7" t="str">
        <f>VLOOKUP(B1402,Indice!$B$1:$C$22,2,0)</f>
        <v>AMAZONUW</v>
      </c>
      <c r="D1402" s="7" t="str">
        <f>$A1402&amp;"-"&amp;$C1402&amp;"-"&amp;TEXT(COUNTIFS($A$2:$A1402,$A1402,$C$2:$C1402,$C1402),"000")</f>
        <v>F3-AMAZONUW-038</v>
      </c>
      <c r="E1402" s="7" t="s">
        <v>1454</v>
      </c>
      <c r="F1402" s="7" t="s">
        <v>1452</v>
      </c>
      <c r="G1402" s="7" t="s">
        <v>896</v>
      </c>
    </row>
    <row r="1403" spans="1:7">
      <c r="A1403" s="7" t="s">
        <v>1006</v>
      </c>
      <c r="B1403" s="7" t="s">
        <v>38</v>
      </c>
      <c r="C1403" s="7" t="str">
        <f>VLOOKUP(B1403,Indice!$B$1:$C$22,2,0)</f>
        <v>AMAZONUW</v>
      </c>
      <c r="D1403" s="7" t="str">
        <f>$A1403&amp;"-"&amp;$C1403&amp;"-"&amp;TEXT(COUNTIFS($A$2:$A1403,$A1403,$C$2:$C1403,$C1403),"000")</f>
        <v>F3-AMAZONUW-039</v>
      </c>
      <c r="E1403" s="7" t="s">
        <v>1454</v>
      </c>
      <c r="F1403" s="7" t="s">
        <v>1455</v>
      </c>
      <c r="G1403" s="7" t="s">
        <v>896</v>
      </c>
    </row>
    <row r="1404" spans="1:7">
      <c r="A1404" s="7" t="s">
        <v>1006</v>
      </c>
      <c r="B1404" s="7" t="s">
        <v>38</v>
      </c>
      <c r="C1404" s="7" t="str">
        <f>VLOOKUP(B1404,Indice!$B$1:$C$22,2,0)</f>
        <v>AMAZONUW</v>
      </c>
      <c r="D1404" s="7" t="str">
        <f>$A1404&amp;"-"&amp;$C1404&amp;"-"&amp;TEXT(COUNTIFS($A$2:$A1404,$A1404,$C$2:$C1404,$C1404),"000")</f>
        <v>F3-AMAZONUW-040</v>
      </c>
      <c r="E1404" s="7" t="s">
        <v>1454</v>
      </c>
      <c r="F1404" s="7" t="s">
        <v>1456</v>
      </c>
      <c r="G1404" s="7" t="s">
        <v>896</v>
      </c>
    </row>
    <row r="1405" spans="1:7">
      <c r="A1405" s="7" t="s">
        <v>1006</v>
      </c>
      <c r="B1405" s="7" t="s">
        <v>38</v>
      </c>
      <c r="C1405" s="7" t="str">
        <f>VLOOKUP(B1405,Indice!$B$1:$C$22,2,0)</f>
        <v>AMAZONUW</v>
      </c>
      <c r="D1405" s="7" t="str">
        <f>$A1405&amp;"-"&amp;$C1405&amp;"-"&amp;TEXT(COUNTIFS($A$2:$A1405,$A1405,$C$2:$C1405,$C1405),"000")</f>
        <v>F3-AMAZONUW-041</v>
      </c>
      <c r="E1405" s="7" t="s">
        <v>1457</v>
      </c>
      <c r="F1405" s="7" t="s">
        <v>1445</v>
      </c>
      <c r="G1405" s="7" t="s">
        <v>896</v>
      </c>
    </row>
    <row r="1406" spans="1:7">
      <c r="A1406" s="7" t="s">
        <v>1006</v>
      </c>
      <c r="B1406" s="7" t="s">
        <v>38</v>
      </c>
      <c r="C1406" s="7" t="str">
        <f>VLOOKUP(B1406,Indice!$B$1:$C$22,2,0)</f>
        <v>AMAZONUW</v>
      </c>
      <c r="D1406" s="7" t="str">
        <f>$A1406&amp;"-"&amp;$C1406&amp;"-"&amp;TEXT(COUNTIFS($A$2:$A1406,$A1406,$C$2:$C1406,$C1406),"000")</f>
        <v>F3-AMAZONUW-042</v>
      </c>
      <c r="E1406" s="7" t="s">
        <v>1457</v>
      </c>
      <c r="F1406" s="7" t="s">
        <v>1446</v>
      </c>
      <c r="G1406" s="7" t="s">
        <v>896</v>
      </c>
    </row>
    <row r="1407" spans="1:7">
      <c r="A1407" s="7" t="s">
        <v>1006</v>
      </c>
      <c r="B1407" s="7" t="s">
        <v>38</v>
      </c>
      <c r="C1407" s="7" t="str">
        <f>VLOOKUP(B1407,Indice!$B$1:$C$22,2,0)</f>
        <v>AMAZONUW</v>
      </c>
      <c r="D1407" s="7" t="str">
        <f>$A1407&amp;"-"&amp;$C1407&amp;"-"&amp;TEXT(COUNTIFS($A$2:$A1407,$A1407,$C$2:$C1407,$C1407),"000")</f>
        <v>F3-AMAZONUW-043</v>
      </c>
      <c r="E1407" s="7" t="s">
        <v>1457</v>
      </c>
      <c r="F1407" s="7" t="s">
        <v>1447</v>
      </c>
      <c r="G1407" s="7" t="s">
        <v>896</v>
      </c>
    </row>
    <row r="1408" spans="1:7">
      <c r="A1408" s="7" t="s">
        <v>1006</v>
      </c>
      <c r="B1408" s="7" t="s">
        <v>38</v>
      </c>
      <c r="C1408" s="7" t="str">
        <f>VLOOKUP(B1408,Indice!$B$1:$C$22,2,0)</f>
        <v>AMAZONUW</v>
      </c>
      <c r="D1408" s="7" t="str">
        <f>$A1408&amp;"-"&amp;$C1408&amp;"-"&amp;TEXT(COUNTIFS($A$2:$A1408,$A1408,$C$2:$C1408,$C1408),"000")</f>
        <v>F3-AMAZONUW-044</v>
      </c>
      <c r="E1408" s="7" t="s">
        <v>1457</v>
      </c>
      <c r="F1408" s="7" t="s">
        <v>1448</v>
      </c>
      <c r="G1408" s="7" t="s">
        <v>896</v>
      </c>
    </row>
    <row r="1409" spans="1:7">
      <c r="A1409" s="7" t="s">
        <v>1006</v>
      </c>
      <c r="B1409" s="7" t="s">
        <v>38</v>
      </c>
      <c r="C1409" s="7" t="str">
        <f>VLOOKUP(B1409,Indice!$B$1:$C$22,2,0)</f>
        <v>AMAZONUW</v>
      </c>
      <c r="D1409" s="7" t="str">
        <f>$A1409&amp;"-"&amp;$C1409&amp;"-"&amp;TEXT(COUNTIFS($A$2:$A1409,$A1409,$C$2:$C1409,$C1409),"000")</f>
        <v>F3-AMAZONUW-045</v>
      </c>
      <c r="E1409" s="7" t="s">
        <v>1457</v>
      </c>
      <c r="F1409" s="7" t="s">
        <v>1449</v>
      </c>
      <c r="G1409" s="7" t="s">
        <v>896</v>
      </c>
    </row>
    <row r="1410" spans="1:7">
      <c r="A1410" s="7" t="s">
        <v>1006</v>
      </c>
      <c r="B1410" s="7" t="s">
        <v>38</v>
      </c>
      <c r="C1410" s="7" t="str">
        <f>VLOOKUP(B1410,Indice!$B$1:$C$22,2,0)</f>
        <v>AMAZONUW</v>
      </c>
      <c r="D1410" s="7" t="str">
        <f>$A1410&amp;"-"&amp;$C1410&amp;"-"&amp;TEXT(COUNTIFS($A$2:$A1410,$A1410,$C$2:$C1410,$C1410),"000")</f>
        <v>F3-AMAZONUW-046</v>
      </c>
      <c r="E1410" s="7" t="s">
        <v>1457</v>
      </c>
      <c r="F1410" s="7" t="s">
        <v>1450</v>
      </c>
      <c r="G1410" s="7" t="s">
        <v>896</v>
      </c>
    </row>
    <row r="1411" spans="1:7">
      <c r="A1411" s="7" t="s">
        <v>1006</v>
      </c>
      <c r="B1411" s="7" t="s">
        <v>38</v>
      </c>
      <c r="C1411" s="7" t="str">
        <f>VLOOKUP(B1411,Indice!$B$1:$C$22,2,0)</f>
        <v>AMAZONUW</v>
      </c>
      <c r="D1411" s="7" t="str">
        <f>$A1411&amp;"-"&amp;$C1411&amp;"-"&amp;TEXT(COUNTIFS($A$2:$A1411,$A1411,$C$2:$C1411,$C1411),"000")</f>
        <v>F3-AMAZONUW-047</v>
      </c>
      <c r="E1411" s="7" t="s">
        <v>1457</v>
      </c>
      <c r="F1411" s="7" t="s">
        <v>1451</v>
      </c>
      <c r="G1411" s="7" t="s">
        <v>896</v>
      </c>
    </row>
    <row r="1412" spans="1:7">
      <c r="A1412" s="7" t="s">
        <v>1006</v>
      </c>
      <c r="B1412" s="7" t="s">
        <v>38</v>
      </c>
      <c r="C1412" s="7" t="str">
        <f>VLOOKUP(B1412,Indice!$B$1:$C$22,2,0)</f>
        <v>AMAZONUW</v>
      </c>
      <c r="D1412" s="7" t="str">
        <f>$A1412&amp;"-"&amp;$C1412&amp;"-"&amp;TEXT(COUNTIFS($A$2:$A1412,$A1412,$C$2:$C1412,$C1412),"000")</f>
        <v>F3-AMAZONUW-048</v>
      </c>
      <c r="E1412" s="7" t="s">
        <v>1457</v>
      </c>
      <c r="F1412" s="7" t="s">
        <v>1452</v>
      </c>
      <c r="G1412" s="7" t="s">
        <v>896</v>
      </c>
    </row>
    <row r="1413" spans="1:7">
      <c r="A1413" s="7" t="s">
        <v>1006</v>
      </c>
      <c r="B1413" s="7" t="s">
        <v>38</v>
      </c>
      <c r="C1413" s="7" t="str">
        <f>VLOOKUP(B1413,Indice!$B$1:$C$22,2,0)</f>
        <v>AMAZONUW</v>
      </c>
      <c r="D1413" s="7" t="str">
        <f>$A1413&amp;"-"&amp;$C1413&amp;"-"&amp;TEXT(COUNTIFS($A$2:$A1413,$A1413,$C$2:$C1413,$C1413),"000")</f>
        <v>F3-AMAZONUW-049</v>
      </c>
      <c r="E1413" s="7" t="s">
        <v>1457</v>
      </c>
      <c r="F1413" s="7" t="s">
        <v>1455</v>
      </c>
      <c r="G1413" s="7" t="s">
        <v>896</v>
      </c>
    </row>
    <row r="1414" spans="1:7">
      <c r="A1414" s="7" t="s">
        <v>1006</v>
      </c>
      <c r="B1414" s="7" t="s">
        <v>38</v>
      </c>
      <c r="C1414" s="7" t="str">
        <f>VLOOKUP(B1414,Indice!$B$1:$C$22,2,0)</f>
        <v>AMAZONUW</v>
      </c>
      <c r="D1414" s="7" t="str">
        <f>$A1414&amp;"-"&amp;$C1414&amp;"-"&amp;TEXT(COUNTIFS($A$2:$A1414,$A1414,$C$2:$C1414,$C1414),"000")</f>
        <v>F3-AMAZONUW-050</v>
      </c>
      <c r="E1414" s="7" t="s">
        <v>1457</v>
      </c>
      <c r="F1414" s="7" t="s">
        <v>1456</v>
      </c>
      <c r="G1414" s="7" t="s">
        <v>896</v>
      </c>
    </row>
    <row r="1415" spans="1:7">
      <c r="A1415" s="7" t="s">
        <v>1006</v>
      </c>
      <c r="B1415" s="7" t="s">
        <v>38</v>
      </c>
      <c r="C1415" s="7" t="str">
        <f>VLOOKUP(B1415,Indice!$B$1:$C$22,2,0)</f>
        <v>AMAZONUW</v>
      </c>
      <c r="D1415" s="7" t="str">
        <f>$A1415&amp;"-"&amp;$C1415&amp;"-"&amp;TEXT(COUNTIFS($A$2:$A1415,$A1415,$C$2:$C1415,$C1415),"000")</f>
        <v>F3-AMAZONUW-051</v>
      </c>
      <c r="E1415" s="7" t="s">
        <v>1458</v>
      </c>
      <c r="F1415" s="7" t="s">
        <v>1447</v>
      </c>
      <c r="G1415" s="7" t="s">
        <v>896</v>
      </c>
    </row>
    <row r="1416" spans="1:7">
      <c r="A1416" s="7" t="s">
        <v>1006</v>
      </c>
      <c r="B1416" s="7" t="s">
        <v>38</v>
      </c>
      <c r="C1416" s="7" t="str">
        <f>VLOOKUP(B1416,Indice!$B$1:$C$22,2,0)</f>
        <v>AMAZONUW</v>
      </c>
      <c r="D1416" s="7" t="str">
        <f>$A1416&amp;"-"&amp;$C1416&amp;"-"&amp;TEXT(COUNTIFS($A$2:$A1416,$A1416,$C$2:$C1416,$C1416),"000")</f>
        <v>F3-AMAZONUW-052</v>
      </c>
      <c r="E1416" s="7" t="s">
        <v>1458</v>
      </c>
      <c r="F1416" s="7" t="s">
        <v>1448</v>
      </c>
      <c r="G1416" s="7" t="s">
        <v>896</v>
      </c>
    </row>
    <row r="1417" spans="1:7">
      <c r="A1417" s="7" t="s">
        <v>1006</v>
      </c>
      <c r="B1417" s="7" t="s">
        <v>38</v>
      </c>
      <c r="C1417" s="7" t="str">
        <f>VLOOKUP(B1417,Indice!$B$1:$C$22,2,0)</f>
        <v>AMAZONUW</v>
      </c>
      <c r="D1417" s="7" t="str">
        <f>$A1417&amp;"-"&amp;$C1417&amp;"-"&amp;TEXT(COUNTIFS($A$2:$A1417,$A1417,$C$2:$C1417,$C1417),"000")</f>
        <v>F3-AMAZONUW-053</v>
      </c>
      <c r="E1417" s="7" t="s">
        <v>1458</v>
      </c>
      <c r="F1417" s="7" t="s">
        <v>1449</v>
      </c>
      <c r="G1417" s="7" t="s">
        <v>896</v>
      </c>
    </row>
    <row r="1418" spans="1:7">
      <c r="A1418" s="7" t="s">
        <v>1006</v>
      </c>
      <c r="B1418" s="7" t="s">
        <v>38</v>
      </c>
      <c r="C1418" s="7" t="str">
        <f>VLOOKUP(B1418,Indice!$B$1:$C$22,2,0)</f>
        <v>AMAZONUW</v>
      </c>
      <c r="D1418" s="7" t="str">
        <f>$A1418&amp;"-"&amp;$C1418&amp;"-"&amp;TEXT(COUNTIFS($A$2:$A1418,$A1418,$C$2:$C1418,$C1418),"000")</f>
        <v>F3-AMAZONUW-054</v>
      </c>
      <c r="E1418" s="7" t="s">
        <v>1458</v>
      </c>
      <c r="F1418" s="7" t="s">
        <v>1450</v>
      </c>
      <c r="G1418" s="7" t="s">
        <v>896</v>
      </c>
    </row>
    <row r="1419" spans="1:7">
      <c r="A1419" s="7" t="s">
        <v>1006</v>
      </c>
      <c r="B1419" s="7" t="s">
        <v>38</v>
      </c>
      <c r="C1419" s="7" t="str">
        <f>VLOOKUP(B1419,Indice!$B$1:$C$22,2,0)</f>
        <v>AMAZONUW</v>
      </c>
      <c r="D1419" s="7" t="str">
        <f>$A1419&amp;"-"&amp;$C1419&amp;"-"&amp;TEXT(COUNTIFS($A$2:$A1419,$A1419,$C$2:$C1419,$C1419),"000")</f>
        <v>F3-AMAZONUW-055</v>
      </c>
      <c r="E1419" s="7" t="s">
        <v>1458</v>
      </c>
      <c r="F1419" s="7" t="s">
        <v>1451</v>
      </c>
      <c r="G1419" s="7" t="s">
        <v>896</v>
      </c>
    </row>
    <row r="1420" spans="1:7">
      <c r="A1420" s="7" t="s">
        <v>1006</v>
      </c>
      <c r="B1420" s="7" t="s">
        <v>38</v>
      </c>
      <c r="C1420" s="7" t="str">
        <f>VLOOKUP(B1420,Indice!$B$1:$C$22,2,0)</f>
        <v>AMAZONUW</v>
      </c>
      <c r="D1420" s="7" t="str">
        <f>$A1420&amp;"-"&amp;$C1420&amp;"-"&amp;TEXT(COUNTIFS($A$2:$A1420,$A1420,$C$2:$C1420,$C1420),"000")</f>
        <v>F3-AMAZONUW-056</v>
      </c>
      <c r="E1420" s="7" t="s">
        <v>1458</v>
      </c>
      <c r="F1420" s="7" t="s">
        <v>1452</v>
      </c>
      <c r="G1420" s="7" t="s">
        <v>896</v>
      </c>
    </row>
    <row r="1421" spans="1:7">
      <c r="A1421" s="7" t="s">
        <v>1006</v>
      </c>
      <c r="B1421" s="7" t="s">
        <v>38</v>
      </c>
      <c r="C1421" s="7" t="str">
        <f>VLOOKUP(B1421,Indice!$B$1:$C$22,2,0)</f>
        <v>AMAZONUW</v>
      </c>
      <c r="D1421" s="7" t="str">
        <f>$A1421&amp;"-"&amp;$C1421&amp;"-"&amp;TEXT(COUNTIFS($A$2:$A1421,$A1421,$C$2:$C1421,$C1421),"000")</f>
        <v>F3-AMAZONUW-057</v>
      </c>
      <c r="E1421" s="7" t="s">
        <v>1458</v>
      </c>
      <c r="F1421" s="7" t="s">
        <v>1455</v>
      </c>
      <c r="G1421" s="7" t="s">
        <v>896</v>
      </c>
    </row>
    <row r="1422" spans="1:7">
      <c r="A1422" s="7" t="s">
        <v>1006</v>
      </c>
      <c r="B1422" s="7" t="s">
        <v>38</v>
      </c>
      <c r="C1422" s="7" t="str">
        <f>VLOOKUP(B1422,Indice!$B$1:$C$22,2,0)</f>
        <v>AMAZONUW</v>
      </c>
      <c r="D1422" s="7" t="str">
        <f>$A1422&amp;"-"&amp;$C1422&amp;"-"&amp;TEXT(COUNTIFS($A$2:$A1422,$A1422,$C$2:$C1422,$C1422),"000")</f>
        <v>F3-AMAZONUW-058</v>
      </c>
      <c r="E1422" s="7" t="s">
        <v>1458</v>
      </c>
      <c r="F1422" s="7" t="s">
        <v>1456</v>
      </c>
      <c r="G1422" s="7" t="s">
        <v>896</v>
      </c>
    </row>
    <row r="1423" spans="1:7">
      <c r="A1423" s="7" t="s">
        <v>1006</v>
      </c>
      <c r="B1423" s="7" t="s">
        <v>38</v>
      </c>
      <c r="C1423" s="7" t="str">
        <f>VLOOKUP(B1423,Indice!$B$1:$C$22,2,0)</f>
        <v>AMAZONUW</v>
      </c>
      <c r="D1423" s="7" t="str">
        <f>$A1423&amp;"-"&amp;$C1423&amp;"-"&amp;TEXT(COUNTIFS($A$2:$A1423,$A1423,$C$2:$C1423,$C1423),"000")</f>
        <v>F3-AMAZONUW-059</v>
      </c>
      <c r="E1423" s="7" t="s">
        <v>1459</v>
      </c>
      <c r="F1423" s="7" t="s">
        <v>1447</v>
      </c>
      <c r="G1423" s="7" t="s">
        <v>896</v>
      </c>
    </row>
    <row r="1424" spans="1:7">
      <c r="A1424" s="7" t="s">
        <v>1006</v>
      </c>
      <c r="B1424" s="7" t="s">
        <v>38</v>
      </c>
      <c r="C1424" s="7" t="str">
        <f>VLOOKUP(B1424,Indice!$B$1:$C$22,2,0)</f>
        <v>AMAZONUW</v>
      </c>
      <c r="D1424" s="7" t="str">
        <f>$A1424&amp;"-"&amp;$C1424&amp;"-"&amp;TEXT(COUNTIFS($A$2:$A1424,$A1424,$C$2:$C1424,$C1424),"000")</f>
        <v>F3-AMAZONUW-060</v>
      </c>
      <c r="E1424" s="7" t="s">
        <v>1459</v>
      </c>
      <c r="F1424" s="7" t="s">
        <v>1448</v>
      </c>
      <c r="G1424" s="7" t="s">
        <v>896</v>
      </c>
    </row>
    <row r="1425" spans="1:7">
      <c r="A1425" s="7" t="s">
        <v>1006</v>
      </c>
      <c r="B1425" s="7" t="s">
        <v>38</v>
      </c>
      <c r="C1425" s="7" t="str">
        <f>VLOOKUP(B1425,Indice!$B$1:$C$22,2,0)</f>
        <v>AMAZONUW</v>
      </c>
      <c r="D1425" s="7" t="str">
        <f>$A1425&amp;"-"&amp;$C1425&amp;"-"&amp;TEXT(COUNTIFS($A$2:$A1425,$A1425,$C$2:$C1425,$C1425),"000")</f>
        <v>F3-AMAZONUW-061</v>
      </c>
      <c r="E1425" s="7" t="s">
        <v>1459</v>
      </c>
      <c r="F1425" s="7" t="s">
        <v>1449</v>
      </c>
      <c r="G1425" s="7" t="s">
        <v>896</v>
      </c>
    </row>
    <row r="1426" spans="1:7">
      <c r="A1426" s="7" t="s">
        <v>1006</v>
      </c>
      <c r="B1426" s="7" t="s">
        <v>38</v>
      </c>
      <c r="C1426" s="7" t="str">
        <f>VLOOKUP(B1426,Indice!$B$1:$C$22,2,0)</f>
        <v>AMAZONUW</v>
      </c>
      <c r="D1426" s="7" t="str">
        <f>$A1426&amp;"-"&amp;$C1426&amp;"-"&amp;TEXT(COUNTIFS($A$2:$A1426,$A1426,$C$2:$C1426,$C1426),"000")</f>
        <v>F3-AMAZONUW-062</v>
      </c>
      <c r="E1426" s="7" t="s">
        <v>1459</v>
      </c>
      <c r="F1426" s="7" t="s">
        <v>1450</v>
      </c>
      <c r="G1426" s="7" t="s">
        <v>896</v>
      </c>
    </row>
    <row r="1427" spans="1:7">
      <c r="A1427" s="7" t="s">
        <v>1006</v>
      </c>
      <c r="B1427" s="7" t="s">
        <v>38</v>
      </c>
      <c r="C1427" s="7" t="str">
        <f>VLOOKUP(B1427,Indice!$B$1:$C$22,2,0)</f>
        <v>AMAZONUW</v>
      </c>
      <c r="D1427" s="7" t="str">
        <f>$A1427&amp;"-"&amp;$C1427&amp;"-"&amp;TEXT(COUNTIFS($A$2:$A1427,$A1427,$C$2:$C1427,$C1427),"000")</f>
        <v>F3-AMAZONUW-063</v>
      </c>
      <c r="E1427" s="7" t="s">
        <v>1459</v>
      </c>
      <c r="F1427" s="7" t="s">
        <v>1451</v>
      </c>
      <c r="G1427" s="7" t="s">
        <v>896</v>
      </c>
    </row>
    <row r="1428" spans="1:7">
      <c r="A1428" s="7" t="s">
        <v>1006</v>
      </c>
      <c r="B1428" s="7" t="s">
        <v>38</v>
      </c>
      <c r="C1428" s="7" t="str">
        <f>VLOOKUP(B1428,Indice!$B$1:$C$22,2,0)</f>
        <v>AMAZONUW</v>
      </c>
      <c r="D1428" s="7" t="str">
        <f>$A1428&amp;"-"&amp;$C1428&amp;"-"&amp;TEXT(COUNTIFS($A$2:$A1428,$A1428,$C$2:$C1428,$C1428),"000")</f>
        <v>F3-AMAZONUW-064</v>
      </c>
      <c r="E1428" s="7" t="s">
        <v>1459</v>
      </c>
      <c r="F1428" s="7" t="s">
        <v>1452</v>
      </c>
      <c r="G1428" s="7" t="s">
        <v>896</v>
      </c>
    </row>
    <row r="1429" spans="1:7">
      <c r="A1429" s="7" t="s">
        <v>1006</v>
      </c>
      <c r="B1429" s="7" t="s">
        <v>38</v>
      </c>
      <c r="C1429" s="7" t="str">
        <f>VLOOKUP(B1429,Indice!$B$1:$C$22,2,0)</f>
        <v>AMAZONUW</v>
      </c>
      <c r="D1429" s="7" t="str">
        <f>$A1429&amp;"-"&amp;$C1429&amp;"-"&amp;TEXT(COUNTIFS($A$2:$A1429,$A1429,$C$2:$C1429,$C1429),"000")</f>
        <v>F3-AMAZONUW-065</v>
      </c>
      <c r="E1429" s="7" t="s">
        <v>1459</v>
      </c>
      <c r="F1429" s="7" t="s">
        <v>1455</v>
      </c>
      <c r="G1429" s="7" t="s">
        <v>896</v>
      </c>
    </row>
    <row r="1430" spans="1:7">
      <c r="A1430" s="7" t="s">
        <v>1006</v>
      </c>
      <c r="B1430" s="7" t="s">
        <v>38</v>
      </c>
      <c r="C1430" s="7" t="str">
        <f>VLOOKUP(B1430,Indice!$B$1:$C$22,2,0)</f>
        <v>AMAZONUW</v>
      </c>
      <c r="D1430" s="7" t="str">
        <f>$A1430&amp;"-"&amp;$C1430&amp;"-"&amp;TEXT(COUNTIFS($A$2:$A1430,$A1430,$C$2:$C1430,$C1430),"000")</f>
        <v>F3-AMAZONUW-066</v>
      </c>
      <c r="E1430" s="7" t="s">
        <v>1459</v>
      </c>
      <c r="F1430" s="7" t="s">
        <v>1456</v>
      </c>
      <c r="G1430" s="7" t="s">
        <v>896</v>
      </c>
    </row>
    <row r="1431" spans="1:7">
      <c r="A1431" s="7" t="s">
        <v>1006</v>
      </c>
      <c r="B1431" s="7" t="s">
        <v>38</v>
      </c>
      <c r="C1431" s="7" t="str">
        <f>VLOOKUP(B1431,Indice!$B$1:$C$22,2,0)</f>
        <v>AMAZONUW</v>
      </c>
      <c r="D1431" s="7" t="str">
        <f>$A1431&amp;"-"&amp;$C1431&amp;"-"&amp;TEXT(COUNTIFS($A$2:$A1431,$A1431,$C$2:$C1431,$C1431),"000")</f>
        <v>F3-AMAZONUW-067</v>
      </c>
      <c r="E1431" s="7" t="s">
        <v>1460</v>
      </c>
      <c r="F1431" s="7" t="s">
        <v>1443</v>
      </c>
      <c r="G1431" s="7" t="s">
        <v>896</v>
      </c>
    </row>
    <row r="1432" spans="1:7">
      <c r="A1432" s="7" t="s">
        <v>1006</v>
      </c>
      <c r="B1432" s="7" t="s">
        <v>38</v>
      </c>
      <c r="C1432" s="7" t="str">
        <f>VLOOKUP(B1432,Indice!$B$1:$C$22,2,0)</f>
        <v>AMAZONUW</v>
      </c>
      <c r="D1432" s="7" t="str">
        <f>$A1432&amp;"-"&amp;$C1432&amp;"-"&amp;TEXT(COUNTIFS($A$2:$A1432,$A1432,$C$2:$C1432,$C1432),"000")</f>
        <v>F3-AMAZONUW-068</v>
      </c>
      <c r="E1432" s="7" t="s">
        <v>1460</v>
      </c>
      <c r="F1432" s="7" t="s">
        <v>1461</v>
      </c>
      <c r="G1432" s="7" t="s">
        <v>896</v>
      </c>
    </row>
    <row r="1433" spans="1:7">
      <c r="A1433" s="7" t="s">
        <v>1006</v>
      </c>
      <c r="B1433" s="7" t="s">
        <v>38</v>
      </c>
      <c r="C1433" s="7" t="str">
        <f>VLOOKUP(B1433,Indice!$B$1:$C$22,2,0)</f>
        <v>AMAZONUW</v>
      </c>
      <c r="D1433" s="7" t="str">
        <f>$A1433&amp;"-"&amp;$C1433&amp;"-"&amp;TEXT(COUNTIFS($A$2:$A1433,$A1433,$C$2:$C1433,$C1433),"000")</f>
        <v>F3-AMAZONUW-069</v>
      </c>
      <c r="E1433" s="7" t="s">
        <v>1462</v>
      </c>
      <c r="F1433" s="7" t="s">
        <v>1463</v>
      </c>
      <c r="G1433" s="7" t="s">
        <v>896</v>
      </c>
    </row>
    <row r="1434" spans="1:7">
      <c r="A1434" s="7" t="s">
        <v>1006</v>
      </c>
      <c r="B1434" s="7" t="s">
        <v>38</v>
      </c>
      <c r="C1434" s="7" t="str">
        <f>VLOOKUP(B1434,Indice!$B$1:$C$22,2,0)</f>
        <v>AMAZONUW</v>
      </c>
      <c r="D1434" s="7" t="str">
        <f>$A1434&amp;"-"&amp;$C1434&amp;"-"&amp;TEXT(COUNTIFS($A$2:$A1434,$A1434,$C$2:$C1434,$C1434),"000")</f>
        <v>F3-AMAZONUW-070</v>
      </c>
      <c r="E1434" s="7" t="s">
        <v>1462</v>
      </c>
      <c r="F1434" s="7" t="s">
        <v>1464</v>
      </c>
      <c r="G1434" s="7" t="s">
        <v>896</v>
      </c>
    </row>
    <row r="1435" spans="1:7">
      <c r="A1435" s="7" t="s">
        <v>1006</v>
      </c>
      <c r="B1435" s="7" t="s">
        <v>38</v>
      </c>
      <c r="C1435" s="7" t="str">
        <f>VLOOKUP(B1435,Indice!$B$1:$C$22,2,0)</f>
        <v>AMAZONUW</v>
      </c>
      <c r="D1435" s="7" t="str">
        <f>$A1435&amp;"-"&amp;$C1435&amp;"-"&amp;TEXT(COUNTIFS($A$2:$A1435,$A1435,$C$2:$C1435,$C1435),"000")</f>
        <v>F3-AMAZONUW-071</v>
      </c>
      <c r="E1435" s="7" t="s">
        <v>1465</v>
      </c>
      <c r="F1435" s="7" t="s">
        <v>1463</v>
      </c>
      <c r="G1435" s="7" t="s">
        <v>896</v>
      </c>
    </row>
    <row r="1436" spans="1:7">
      <c r="A1436" s="7" t="s">
        <v>1006</v>
      </c>
      <c r="B1436" s="7" t="s">
        <v>38</v>
      </c>
      <c r="C1436" s="7" t="str">
        <f>VLOOKUP(B1436,Indice!$B$1:$C$22,2,0)</f>
        <v>AMAZONUW</v>
      </c>
      <c r="D1436" s="7" t="str">
        <f>$A1436&amp;"-"&amp;$C1436&amp;"-"&amp;TEXT(COUNTIFS($A$2:$A1436,$A1436,$C$2:$C1436,$C1436),"000")</f>
        <v>F3-AMAZONUW-072</v>
      </c>
      <c r="E1436" s="7" t="s">
        <v>1465</v>
      </c>
      <c r="F1436" s="7" t="s">
        <v>1464</v>
      </c>
      <c r="G1436" s="7" t="s">
        <v>896</v>
      </c>
    </row>
    <row r="1437" spans="1:7">
      <c r="A1437" s="7" t="s">
        <v>1006</v>
      </c>
      <c r="B1437" s="7" t="s">
        <v>38</v>
      </c>
      <c r="C1437" s="7" t="str">
        <f>VLOOKUP(B1437,Indice!$B$1:$C$22,2,0)</f>
        <v>AMAZONUW</v>
      </c>
      <c r="D1437" s="7" t="str">
        <f>$A1437&amp;"-"&amp;$C1437&amp;"-"&amp;TEXT(COUNTIFS($A$2:$A1437,$A1437,$C$2:$C1437,$C1437),"000")</f>
        <v>F3-AMAZONUW-073</v>
      </c>
      <c r="E1437" s="7" t="s">
        <v>1465</v>
      </c>
      <c r="F1437" s="7" t="s">
        <v>1466</v>
      </c>
      <c r="G1437" s="7" t="s">
        <v>896</v>
      </c>
    </row>
    <row r="1438" spans="1:7">
      <c r="A1438" s="7" t="s">
        <v>1006</v>
      </c>
      <c r="B1438" s="7" t="s">
        <v>38</v>
      </c>
      <c r="C1438" s="7" t="str">
        <f>VLOOKUP(B1438,Indice!$B$1:$C$22,2,0)</f>
        <v>AMAZONUW</v>
      </c>
      <c r="D1438" s="7" t="str">
        <f>$A1438&amp;"-"&amp;$C1438&amp;"-"&amp;TEXT(COUNTIFS($A$2:$A1438,$A1438,$C$2:$C1438,$C1438),"000")</f>
        <v>F3-AMAZONUW-074</v>
      </c>
      <c r="E1438" s="7" t="s">
        <v>1467</v>
      </c>
      <c r="F1438" s="7" t="s">
        <v>1468</v>
      </c>
      <c r="G1438" s="7" t="s">
        <v>5</v>
      </c>
    </row>
    <row r="1439" spans="1:7">
      <c r="A1439" s="7" t="s">
        <v>1006</v>
      </c>
      <c r="B1439" s="7" t="s">
        <v>38</v>
      </c>
      <c r="C1439" s="7" t="str">
        <f>VLOOKUP(B1439,Indice!$B$1:$C$22,2,0)</f>
        <v>AMAZONUW</v>
      </c>
      <c r="D1439" s="7" t="str">
        <f>$A1439&amp;"-"&amp;$C1439&amp;"-"&amp;TEXT(COUNTIFS($A$2:$A1439,$A1439,$C$2:$C1439,$C1439),"000")</f>
        <v>F3-AMAZONUW-075</v>
      </c>
      <c r="E1439" s="7" t="s">
        <v>1469</v>
      </c>
      <c r="F1439" s="7" t="s">
        <v>1468</v>
      </c>
      <c r="G1439" s="7" t="s">
        <v>4</v>
      </c>
    </row>
    <row r="1440" spans="1:7">
      <c r="A1440" s="7" t="s">
        <v>1006</v>
      </c>
      <c r="B1440" s="7" t="s">
        <v>40</v>
      </c>
      <c r="C1440" s="7" t="str">
        <f>VLOOKUP(B1440,Indice!$B$1:$C$22,2,0)</f>
        <v>CEEEP</v>
      </c>
      <c r="D1440" s="7" t="str">
        <f>$A1440&amp;"-"&amp;$C1440&amp;"-"&amp;TEXT(COUNTIFS($A$2:$A1440,$A1440,$C$2:$C1440,$C1440),"000")</f>
        <v>F3-CEEEP-001</v>
      </c>
      <c r="E1440" s="7" t="s">
        <v>1470</v>
      </c>
      <c r="F1440" s="7" t="s">
        <v>1471</v>
      </c>
      <c r="G1440" s="7" t="s">
        <v>4</v>
      </c>
    </row>
    <row r="1441" spans="1:7">
      <c r="A1441" s="7" t="s">
        <v>1006</v>
      </c>
      <c r="B1441" s="7" t="s">
        <v>40</v>
      </c>
      <c r="C1441" s="7" t="str">
        <f>VLOOKUP(B1441,Indice!$B$1:$C$22,2,0)</f>
        <v>CEEEP</v>
      </c>
      <c r="D1441" s="7" t="str">
        <f>$A1441&amp;"-"&amp;$C1441&amp;"-"&amp;TEXT(COUNTIFS($A$2:$A1441,$A1441,$C$2:$C1441,$C1441),"000")</f>
        <v>F3-CEEEP-002</v>
      </c>
      <c r="E1441" s="7" t="s">
        <v>1472</v>
      </c>
      <c r="F1441" s="7" t="s">
        <v>1471</v>
      </c>
      <c r="G1441" s="7" t="s">
        <v>4</v>
      </c>
    </row>
    <row r="1442" spans="1:7">
      <c r="A1442" s="7" t="s">
        <v>1006</v>
      </c>
      <c r="B1442" s="7" t="s">
        <v>40</v>
      </c>
      <c r="C1442" s="7" t="str">
        <f>VLOOKUP(B1442,Indice!$B$1:$C$22,2,0)</f>
        <v>CEEEP</v>
      </c>
      <c r="D1442" s="7" t="str">
        <f>$A1442&amp;"-"&amp;$C1442&amp;"-"&amp;TEXT(COUNTIFS($A$2:$A1442,$A1442,$C$2:$C1442,$C1442),"000")</f>
        <v>F3-CEEEP-003</v>
      </c>
      <c r="E1442" s="7" t="s">
        <v>1473</v>
      </c>
      <c r="F1442" s="7" t="s">
        <v>1471</v>
      </c>
      <c r="G1442" s="7" t="s">
        <v>4</v>
      </c>
    </row>
    <row r="1443" spans="1:7">
      <c r="A1443" s="7" t="s">
        <v>1006</v>
      </c>
      <c r="B1443" s="7" t="s">
        <v>40</v>
      </c>
      <c r="C1443" s="7" t="str">
        <f>VLOOKUP(B1443,Indice!$B$1:$C$22,2,0)</f>
        <v>CEEEP</v>
      </c>
      <c r="D1443" s="7" t="str">
        <f>$A1443&amp;"-"&amp;$C1443&amp;"-"&amp;TEXT(COUNTIFS($A$2:$A1443,$A1443,$C$2:$C1443,$C1443),"000")</f>
        <v>F3-CEEEP-004</v>
      </c>
      <c r="E1443" s="7" t="s">
        <v>1474</v>
      </c>
      <c r="F1443" s="7" t="s">
        <v>1471</v>
      </c>
      <c r="G1443" s="7" t="s">
        <v>4</v>
      </c>
    </row>
    <row r="1444" spans="1:7">
      <c r="A1444" s="7" t="s">
        <v>1006</v>
      </c>
      <c r="B1444" s="7" t="s">
        <v>40</v>
      </c>
      <c r="C1444" s="7" t="str">
        <f>VLOOKUP(B1444,Indice!$B$1:$C$22,2,0)</f>
        <v>CEEEP</v>
      </c>
      <c r="D1444" s="7" t="str">
        <f>$A1444&amp;"-"&amp;$C1444&amp;"-"&amp;TEXT(COUNTIFS($A$2:$A1444,$A1444,$C$2:$C1444,$C1444),"000")</f>
        <v>F3-CEEEP-005</v>
      </c>
      <c r="E1444" s="7" t="s">
        <v>1475</v>
      </c>
      <c r="F1444" s="7" t="s">
        <v>1471</v>
      </c>
      <c r="G1444" s="7" t="s">
        <v>4</v>
      </c>
    </row>
    <row r="1445" spans="1:7">
      <c r="A1445" s="7" t="s">
        <v>1006</v>
      </c>
      <c r="B1445" s="7" t="s">
        <v>40</v>
      </c>
      <c r="C1445" s="7" t="str">
        <f>VLOOKUP(B1445,Indice!$B$1:$C$22,2,0)</f>
        <v>CEEEP</v>
      </c>
      <c r="D1445" s="7" t="str">
        <f>$A1445&amp;"-"&amp;$C1445&amp;"-"&amp;TEXT(COUNTIFS($A$2:$A1445,$A1445,$C$2:$C1445,$C1445),"000")</f>
        <v>F3-CEEEP-006</v>
      </c>
      <c r="E1445" s="7" t="s">
        <v>1476</v>
      </c>
      <c r="F1445" s="7" t="s">
        <v>1471</v>
      </c>
      <c r="G1445" s="7" t="s">
        <v>4</v>
      </c>
    </row>
    <row r="1446" spans="1:7">
      <c r="A1446" s="7" t="s">
        <v>1006</v>
      </c>
      <c r="B1446" s="7" t="s">
        <v>40</v>
      </c>
      <c r="C1446" s="7" t="str">
        <f>VLOOKUP(B1446,Indice!$B$1:$C$22,2,0)</f>
        <v>CEEEP</v>
      </c>
      <c r="D1446" s="7" t="str">
        <f>$A1446&amp;"-"&amp;$C1446&amp;"-"&amp;TEXT(COUNTIFS($A$2:$A1446,$A1446,$C$2:$C1446,$C1446),"000")</f>
        <v>F3-CEEEP-007</v>
      </c>
      <c r="E1446" s="7" t="s">
        <v>1477</v>
      </c>
      <c r="F1446" s="7" t="s">
        <v>1471</v>
      </c>
      <c r="G1446" s="7" t="s">
        <v>4</v>
      </c>
    </row>
    <row r="1447" spans="1:7">
      <c r="A1447" s="7" t="s">
        <v>1006</v>
      </c>
      <c r="B1447" s="7" t="s">
        <v>40</v>
      </c>
      <c r="C1447" s="7" t="str">
        <f>VLOOKUP(B1447,Indice!$B$1:$C$22,2,0)</f>
        <v>CEEEP</v>
      </c>
      <c r="D1447" s="7" t="str">
        <f>$A1447&amp;"-"&amp;$C1447&amp;"-"&amp;TEXT(COUNTIFS($A$2:$A1447,$A1447,$C$2:$C1447,$C1447),"000")</f>
        <v>F3-CEEEP-008</v>
      </c>
      <c r="E1447" s="7" t="s">
        <v>1478</v>
      </c>
      <c r="F1447" s="7" t="s">
        <v>1471</v>
      </c>
      <c r="G1447" s="7" t="s">
        <v>4</v>
      </c>
    </row>
    <row r="1448" spans="1:7">
      <c r="A1448" s="7" t="s">
        <v>1006</v>
      </c>
      <c r="B1448" s="7" t="s">
        <v>40</v>
      </c>
      <c r="C1448" s="7" t="str">
        <f>VLOOKUP(B1448,Indice!$B$1:$C$22,2,0)</f>
        <v>CEEEP</v>
      </c>
      <c r="D1448" s="7" t="str">
        <f>$A1448&amp;"-"&amp;$C1448&amp;"-"&amp;TEXT(COUNTIFS($A$2:$A1448,$A1448,$C$2:$C1448,$C1448),"000")</f>
        <v>F3-CEEEP-009</v>
      </c>
      <c r="E1448" s="7" t="s">
        <v>1479</v>
      </c>
      <c r="F1448" s="7" t="s">
        <v>1471</v>
      </c>
      <c r="G1448" s="7" t="s">
        <v>4</v>
      </c>
    </row>
    <row r="1449" spans="1:7">
      <c r="A1449" s="7" t="s">
        <v>1006</v>
      </c>
      <c r="B1449" s="7" t="s">
        <v>40</v>
      </c>
      <c r="C1449" s="7" t="str">
        <f>VLOOKUP(B1449,Indice!$B$1:$C$22,2,0)</f>
        <v>CEEEP</v>
      </c>
      <c r="D1449" s="7" t="str">
        <f>$A1449&amp;"-"&amp;$C1449&amp;"-"&amp;TEXT(COUNTIFS($A$2:$A1449,$A1449,$C$2:$C1449,$C1449),"000")</f>
        <v>F3-CEEEP-010</v>
      </c>
      <c r="E1449" s="7" t="s">
        <v>1480</v>
      </c>
      <c r="F1449" s="7" t="s">
        <v>1471</v>
      </c>
      <c r="G1449" s="7" t="s">
        <v>4</v>
      </c>
    </row>
    <row r="1450" spans="1:7">
      <c r="A1450" s="7" t="s">
        <v>1006</v>
      </c>
      <c r="B1450" s="7" t="s">
        <v>40</v>
      </c>
      <c r="C1450" s="7" t="str">
        <f>VLOOKUP(B1450,Indice!$B$1:$C$22,2,0)</f>
        <v>CEEEP</v>
      </c>
      <c r="D1450" s="7" t="str">
        <f>$A1450&amp;"-"&amp;$C1450&amp;"-"&amp;TEXT(COUNTIFS($A$2:$A1450,$A1450,$C$2:$C1450,$C1450),"000")</f>
        <v>F3-CEEEP-011</v>
      </c>
      <c r="E1450" s="7" t="s">
        <v>1481</v>
      </c>
      <c r="F1450" s="7" t="s">
        <v>1471</v>
      </c>
      <c r="G1450" s="7" t="s">
        <v>4</v>
      </c>
    </row>
    <row r="1451" spans="1:7">
      <c r="A1451" s="7" t="s">
        <v>1006</v>
      </c>
      <c r="B1451" s="7" t="s">
        <v>40</v>
      </c>
      <c r="C1451" s="7" t="str">
        <f>VLOOKUP(B1451,Indice!$B$1:$C$22,2,0)</f>
        <v>CEEEP</v>
      </c>
      <c r="D1451" s="7" t="str">
        <f>$A1451&amp;"-"&amp;$C1451&amp;"-"&amp;TEXT(COUNTIFS($A$2:$A1451,$A1451,$C$2:$C1451,$C1451),"000")</f>
        <v>F3-CEEEP-012</v>
      </c>
      <c r="E1451" s="7" t="s">
        <v>1482</v>
      </c>
      <c r="F1451" s="7" t="s">
        <v>1471</v>
      </c>
      <c r="G1451" s="7" t="s">
        <v>4</v>
      </c>
    </row>
    <row r="1452" spans="1:7">
      <c r="A1452" s="7" t="s">
        <v>1006</v>
      </c>
      <c r="B1452" s="7" t="s">
        <v>40</v>
      </c>
      <c r="C1452" s="7" t="str">
        <f>VLOOKUP(B1452,Indice!$B$1:$C$22,2,0)</f>
        <v>CEEEP</v>
      </c>
      <c r="D1452" s="7" t="str">
        <f>$A1452&amp;"-"&amp;$C1452&amp;"-"&amp;TEXT(COUNTIFS($A$2:$A1452,$A1452,$C$2:$C1452,$C1452),"000")</f>
        <v>F3-CEEEP-013</v>
      </c>
      <c r="E1452" s="7" t="s">
        <v>1483</v>
      </c>
      <c r="F1452" s="7" t="s">
        <v>1471</v>
      </c>
      <c r="G1452" s="7" t="s">
        <v>4</v>
      </c>
    </row>
    <row r="1453" spans="1:7">
      <c r="A1453" s="7" t="s">
        <v>1006</v>
      </c>
      <c r="B1453" s="7" t="s">
        <v>40</v>
      </c>
      <c r="C1453" s="7" t="str">
        <f>VLOOKUP(B1453,Indice!$B$1:$C$22,2,0)</f>
        <v>CEEEP</v>
      </c>
      <c r="D1453" s="7" t="str">
        <f>$A1453&amp;"-"&amp;$C1453&amp;"-"&amp;TEXT(COUNTIFS($A$2:$A1453,$A1453,$C$2:$C1453,$C1453),"000")</f>
        <v>F3-CEEEP-014</v>
      </c>
      <c r="E1453" s="7" t="s">
        <v>1484</v>
      </c>
      <c r="F1453" s="7" t="s">
        <v>1471</v>
      </c>
      <c r="G1453" s="7" t="s">
        <v>4</v>
      </c>
    </row>
    <row r="1454" spans="1:7">
      <c r="A1454" s="7" t="s">
        <v>1006</v>
      </c>
      <c r="B1454" s="7" t="s">
        <v>40</v>
      </c>
      <c r="C1454" s="7" t="str">
        <f>VLOOKUP(B1454,Indice!$B$1:$C$22,2,0)</f>
        <v>CEEEP</v>
      </c>
      <c r="D1454" s="7" t="str">
        <f>$A1454&amp;"-"&amp;$C1454&amp;"-"&amp;TEXT(COUNTIFS($A$2:$A1454,$A1454,$C$2:$C1454,$C1454),"000")</f>
        <v>F3-CEEEP-015</v>
      </c>
      <c r="E1454" s="7" t="s">
        <v>1485</v>
      </c>
      <c r="F1454" s="7" t="s">
        <v>1471</v>
      </c>
      <c r="G1454" s="7" t="s">
        <v>4</v>
      </c>
    </row>
    <row r="1455" spans="1:7">
      <c r="A1455" s="7" t="s">
        <v>1006</v>
      </c>
      <c r="B1455" s="7" t="s">
        <v>40</v>
      </c>
      <c r="C1455" s="7" t="str">
        <f>VLOOKUP(B1455,Indice!$B$1:$C$22,2,0)</f>
        <v>CEEEP</v>
      </c>
      <c r="D1455" s="7" t="str">
        <f>$A1455&amp;"-"&amp;$C1455&amp;"-"&amp;TEXT(COUNTIFS($A$2:$A1455,$A1455,$C$2:$C1455,$C1455),"000")</f>
        <v>F3-CEEEP-016</v>
      </c>
      <c r="E1455" s="7" t="s">
        <v>1486</v>
      </c>
      <c r="F1455" s="7" t="s">
        <v>1471</v>
      </c>
      <c r="G1455" s="7" t="s">
        <v>4</v>
      </c>
    </row>
    <row r="1456" spans="1:7">
      <c r="A1456" s="7" t="s">
        <v>1006</v>
      </c>
      <c r="B1456" s="7" t="s">
        <v>40</v>
      </c>
      <c r="C1456" s="7" t="str">
        <f>VLOOKUP(B1456,Indice!$B$1:$C$22,2,0)</f>
        <v>CEEEP</v>
      </c>
      <c r="D1456" s="7" t="str">
        <f>$A1456&amp;"-"&amp;$C1456&amp;"-"&amp;TEXT(COUNTIFS($A$2:$A1456,$A1456,$C$2:$C1456,$C1456),"000")</f>
        <v>F3-CEEEP-017</v>
      </c>
      <c r="E1456" s="7" t="s">
        <v>1487</v>
      </c>
      <c r="F1456" s="7" t="s">
        <v>1471</v>
      </c>
      <c r="G1456" s="7" t="s">
        <v>4</v>
      </c>
    </row>
    <row r="1457" spans="1:7">
      <c r="A1457" s="7" t="s">
        <v>1006</v>
      </c>
      <c r="B1457" s="7" t="s">
        <v>40</v>
      </c>
      <c r="C1457" s="7" t="str">
        <f>VLOOKUP(B1457,Indice!$B$1:$C$22,2,0)</f>
        <v>CEEEP</v>
      </c>
      <c r="D1457" s="7" t="str">
        <f>$A1457&amp;"-"&amp;$C1457&amp;"-"&amp;TEXT(COUNTIFS($A$2:$A1457,$A1457,$C$2:$C1457,$C1457),"000")</f>
        <v>F3-CEEEP-018</v>
      </c>
      <c r="E1457" s="7" t="s">
        <v>1488</v>
      </c>
      <c r="F1457" s="7" t="s">
        <v>1471</v>
      </c>
      <c r="G1457" s="7" t="s">
        <v>4</v>
      </c>
    </row>
    <row r="1458" spans="1:7">
      <c r="A1458" s="7" t="s">
        <v>1006</v>
      </c>
      <c r="B1458" s="7" t="s">
        <v>40</v>
      </c>
      <c r="C1458" s="7" t="str">
        <f>VLOOKUP(B1458,Indice!$B$1:$C$22,2,0)</f>
        <v>CEEEP</v>
      </c>
      <c r="D1458" s="7" t="str">
        <f>$A1458&amp;"-"&amp;$C1458&amp;"-"&amp;TEXT(COUNTIFS($A$2:$A1458,$A1458,$C$2:$C1458,$C1458),"000")</f>
        <v>F3-CEEEP-019</v>
      </c>
      <c r="E1458" s="7" t="s">
        <v>1489</v>
      </c>
      <c r="F1458" s="7" t="s">
        <v>1471</v>
      </c>
      <c r="G1458" s="7" t="s">
        <v>4</v>
      </c>
    </row>
    <row r="1459" spans="1:7">
      <c r="A1459" s="7" t="s">
        <v>1006</v>
      </c>
      <c r="B1459" s="7" t="s">
        <v>40</v>
      </c>
      <c r="C1459" s="7" t="str">
        <f>VLOOKUP(B1459,Indice!$B$1:$C$22,2,0)</f>
        <v>CEEEP</v>
      </c>
      <c r="D1459" s="7" t="str">
        <f>$A1459&amp;"-"&amp;$C1459&amp;"-"&amp;TEXT(COUNTIFS($A$2:$A1459,$A1459,$C$2:$C1459,$C1459),"000")</f>
        <v>F3-CEEEP-020</v>
      </c>
      <c r="E1459" s="7" t="s">
        <v>1490</v>
      </c>
      <c r="F1459" s="7" t="s">
        <v>1471</v>
      </c>
      <c r="G1459" s="7" t="s">
        <v>4</v>
      </c>
    </row>
    <row r="1460" spans="1:7">
      <c r="A1460" s="7" t="s">
        <v>1006</v>
      </c>
      <c r="B1460" s="7" t="s">
        <v>40</v>
      </c>
      <c r="C1460" s="7" t="str">
        <f>VLOOKUP(B1460,Indice!$B$1:$C$22,2,0)</f>
        <v>CEEEP</v>
      </c>
      <c r="D1460" s="7" t="str">
        <f>$A1460&amp;"-"&amp;$C1460&amp;"-"&amp;TEXT(COUNTIFS($A$2:$A1460,$A1460,$C$2:$C1460,$C1460),"000")</f>
        <v>F3-CEEEP-021</v>
      </c>
      <c r="E1460" s="7" t="s">
        <v>1491</v>
      </c>
      <c r="F1460" s="7" t="s">
        <v>1471</v>
      </c>
      <c r="G1460" s="7" t="s">
        <v>4</v>
      </c>
    </row>
    <row r="1461" spans="1:7">
      <c r="A1461" s="7" t="s">
        <v>1006</v>
      </c>
      <c r="B1461" s="7" t="s">
        <v>40</v>
      </c>
      <c r="C1461" s="7" t="str">
        <f>VLOOKUP(B1461,Indice!$B$1:$C$22,2,0)</f>
        <v>CEEEP</v>
      </c>
      <c r="D1461" s="7" t="str">
        <f>$A1461&amp;"-"&amp;$C1461&amp;"-"&amp;TEXT(COUNTIFS($A$2:$A1461,$A1461,$C$2:$C1461,$C1461),"000")</f>
        <v>F3-CEEEP-022</v>
      </c>
      <c r="E1461" s="7" t="s">
        <v>1492</v>
      </c>
      <c r="F1461" s="7" t="s">
        <v>1471</v>
      </c>
      <c r="G1461" s="7" t="s">
        <v>4</v>
      </c>
    </row>
    <row r="1462" spans="1:7">
      <c r="A1462" s="7" t="s">
        <v>1006</v>
      </c>
      <c r="B1462" s="7" t="s">
        <v>40</v>
      </c>
      <c r="C1462" s="7" t="str">
        <f>VLOOKUP(B1462,Indice!$B$1:$C$22,2,0)</f>
        <v>CEEEP</v>
      </c>
      <c r="D1462" s="7" t="str">
        <f>$A1462&amp;"-"&amp;$C1462&amp;"-"&amp;TEXT(COUNTIFS($A$2:$A1462,$A1462,$C$2:$C1462,$C1462),"000")</f>
        <v>F3-CEEEP-023</v>
      </c>
      <c r="E1462" s="7" t="s">
        <v>1493</v>
      </c>
      <c r="F1462" s="7" t="s">
        <v>1471</v>
      </c>
      <c r="G1462" s="7" t="s">
        <v>4</v>
      </c>
    </row>
    <row r="1463" spans="1:7">
      <c r="A1463" s="7" t="s">
        <v>1006</v>
      </c>
      <c r="B1463" s="7" t="s">
        <v>40</v>
      </c>
      <c r="C1463" s="7" t="str">
        <f>VLOOKUP(B1463,Indice!$B$1:$C$22,2,0)</f>
        <v>CEEEP</v>
      </c>
      <c r="D1463" s="7" t="str">
        <f>$A1463&amp;"-"&amp;$C1463&amp;"-"&amp;TEXT(COUNTIFS($A$2:$A1463,$A1463,$C$2:$C1463,$C1463),"000")</f>
        <v>F3-CEEEP-024</v>
      </c>
      <c r="E1463" s="7" t="s">
        <v>1494</v>
      </c>
      <c r="F1463" s="7" t="s">
        <v>1471</v>
      </c>
      <c r="G1463" s="7" t="s">
        <v>4</v>
      </c>
    </row>
    <row r="1464" spans="1:7">
      <c r="A1464" s="7" t="s">
        <v>1006</v>
      </c>
      <c r="B1464" s="7" t="s">
        <v>40</v>
      </c>
      <c r="C1464" s="7" t="str">
        <f>VLOOKUP(B1464,Indice!$B$1:$C$22,2,0)</f>
        <v>CEEEP</v>
      </c>
      <c r="D1464" s="7" t="str">
        <f>$A1464&amp;"-"&amp;$C1464&amp;"-"&amp;TEXT(COUNTIFS($A$2:$A1464,$A1464,$C$2:$C1464,$C1464),"000")</f>
        <v>F3-CEEEP-025</v>
      </c>
      <c r="E1464" s="7" t="s">
        <v>1495</v>
      </c>
      <c r="F1464" s="7" t="s">
        <v>1471</v>
      </c>
      <c r="G1464" s="7" t="s">
        <v>4</v>
      </c>
    </row>
    <row r="1465" spans="1:7">
      <c r="A1465" s="7" t="s">
        <v>1006</v>
      </c>
      <c r="B1465" s="7" t="s">
        <v>40</v>
      </c>
      <c r="C1465" s="7" t="str">
        <f>VLOOKUP(B1465,Indice!$B$1:$C$22,2,0)</f>
        <v>CEEEP</v>
      </c>
      <c r="D1465" s="7" t="str">
        <f>$A1465&amp;"-"&amp;$C1465&amp;"-"&amp;TEXT(COUNTIFS($A$2:$A1465,$A1465,$C$2:$C1465,$C1465),"000")</f>
        <v>F3-CEEEP-026</v>
      </c>
      <c r="E1465" s="7" t="s">
        <v>1496</v>
      </c>
      <c r="F1465" s="7" t="s">
        <v>1471</v>
      </c>
      <c r="G1465" s="7" t="s">
        <v>4</v>
      </c>
    </row>
    <row r="1466" spans="1:7">
      <c r="A1466" s="7" t="s">
        <v>1006</v>
      </c>
      <c r="B1466" s="7" t="s">
        <v>40</v>
      </c>
      <c r="C1466" s="7" t="str">
        <f>VLOOKUP(B1466,Indice!$B$1:$C$22,2,0)</f>
        <v>CEEEP</v>
      </c>
      <c r="D1466" s="7" t="str">
        <f>$A1466&amp;"-"&amp;$C1466&amp;"-"&amp;TEXT(COUNTIFS($A$2:$A1466,$A1466,$C$2:$C1466,$C1466),"000")</f>
        <v>F3-CEEEP-027</v>
      </c>
      <c r="E1466" s="7" t="s">
        <v>1497</v>
      </c>
      <c r="F1466" s="7" t="s">
        <v>1471</v>
      </c>
      <c r="G1466" s="7" t="s">
        <v>4</v>
      </c>
    </row>
    <row r="1467" spans="1:7">
      <c r="A1467" s="7" t="s">
        <v>1006</v>
      </c>
      <c r="B1467" s="7" t="s">
        <v>40</v>
      </c>
      <c r="C1467" s="7" t="str">
        <f>VLOOKUP(B1467,Indice!$B$1:$C$22,2,0)</f>
        <v>CEEEP</v>
      </c>
      <c r="D1467" s="7" t="str">
        <f>$A1467&amp;"-"&amp;$C1467&amp;"-"&amp;TEXT(COUNTIFS($A$2:$A1467,$A1467,$C$2:$C1467,$C1467),"000")</f>
        <v>F3-CEEEP-028</v>
      </c>
      <c r="E1467" s="7" t="s">
        <v>1498</v>
      </c>
      <c r="F1467" s="7" t="s">
        <v>1471</v>
      </c>
      <c r="G1467" s="7" t="s">
        <v>4</v>
      </c>
    </row>
    <row r="1468" spans="1:7">
      <c r="A1468" s="7" t="s">
        <v>1006</v>
      </c>
      <c r="B1468" s="7" t="s">
        <v>40</v>
      </c>
      <c r="C1468" s="7" t="str">
        <f>VLOOKUP(B1468,Indice!$B$1:$C$22,2,0)</f>
        <v>CEEEP</v>
      </c>
      <c r="D1468" s="7" t="str">
        <f>$A1468&amp;"-"&amp;$C1468&amp;"-"&amp;TEXT(COUNTIFS($A$2:$A1468,$A1468,$C$2:$C1468,$C1468),"000")</f>
        <v>F3-CEEEP-029</v>
      </c>
      <c r="E1468" s="7" t="s">
        <v>1499</v>
      </c>
      <c r="F1468" s="7" t="s">
        <v>1471</v>
      </c>
      <c r="G1468" s="7" t="s">
        <v>4</v>
      </c>
    </row>
    <row r="1469" spans="1:7">
      <c r="A1469" s="7" t="s">
        <v>1006</v>
      </c>
      <c r="B1469" s="7" t="s">
        <v>40</v>
      </c>
      <c r="C1469" s="7" t="str">
        <f>VLOOKUP(B1469,Indice!$B$1:$C$22,2,0)</f>
        <v>CEEEP</v>
      </c>
      <c r="D1469" s="7" t="str">
        <f>$A1469&amp;"-"&amp;$C1469&amp;"-"&amp;TEXT(COUNTIFS($A$2:$A1469,$A1469,$C$2:$C1469,$C1469),"000")</f>
        <v>F3-CEEEP-030</v>
      </c>
      <c r="E1469" s="7" t="s">
        <v>1500</v>
      </c>
      <c r="F1469" s="7" t="s">
        <v>1471</v>
      </c>
      <c r="G1469" s="7" t="s">
        <v>4</v>
      </c>
    </row>
    <row r="1470" spans="1:7">
      <c r="A1470" s="7" t="s">
        <v>1006</v>
      </c>
      <c r="B1470" s="7" t="s">
        <v>40</v>
      </c>
      <c r="C1470" s="7" t="str">
        <f>VLOOKUP(B1470,Indice!$B$1:$C$22,2,0)</f>
        <v>CEEEP</v>
      </c>
      <c r="D1470" s="7" t="str">
        <f>$A1470&amp;"-"&amp;$C1470&amp;"-"&amp;TEXT(COUNTIFS($A$2:$A1470,$A1470,$C$2:$C1470,$C1470),"000")</f>
        <v>F3-CEEEP-031</v>
      </c>
      <c r="E1470" s="7" t="s">
        <v>1501</v>
      </c>
      <c r="F1470" s="7" t="s">
        <v>1471</v>
      </c>
      <c r="G1470" s="7" t="s">
        <v>4</v>
      </c>
    </row>
    <row r="1471" spans="1:7">
      <c r="A1471" s="7" t="s">
        <v>1006</v>
      </c>
      <c r="B1471" s="7" t="s">
        <v>40</v>
      </c>
      <c r="C1471" s="7" t="str">
        <f>VLOOKUP(B1471,Indice!$B$1:$C$22,2,0)</f>
        <v>CEEEP</v>
      </c>
      <c r="D1471" s="7" t="str">
        <f>$A1471&amp;"-"&amp;$C1471&amp;"-"&amp;TEXT(COUNTIFS($A$2:$A1471,$A1471,$C$2:$C1471,$C1471),"000")</f>
        <v>F3-CEEEP-032</v>
      </c>
      <c r="E1471" s="7" t="s">
        <v>1502</v>
      </c>
      <c r="F1471" s="7" t="s">
        <v>1471</v>
      </c>
      <c r="G1471" s="7" t="s">
        <v>4</v>
      </c>
    </row>
    <row r="1472" spans="1:7">
      <c r="A1472" s="7" t="s">
        <v>1006</v>
      </c>
      <c r="B1472" s="7" t="s">
        <v>40</v>
      </c>
      <c r="C1472" s="7" t="str">
        <f>VLOOKUP(B1472,Indice!$B$1:$C$22,2,0)</f>
        <v>CEEEP</v>
      </c>
      <c r="D1472" s="7" t="str">
        <f>$A1472&amp;"-"&amp;$C1472&amp;"-"&amp;TEXT(COUNTIFS($A$2:$A1472,$A1472,$C$2:$C1472,$C1472),"000")</f>
        <v>F3-CEEEP-033</v>
      </c>
      <c r="E1472" s="7" t="s">
        <v>1503</v>
      </c>
      <c r="F1472" s="7" t="s">
        <v>1471</v>
      </c>
      <c r="G1472" s="7" t="s">
        <v>4</v>
      </c>
    </row>
    <row r="1473" spans="1:7">
      <c r="A1473" s="7" t="s">
        <v>1006</v>
      </c>
      <c r="B1473" s="7" t="s">
        <v>40</v>
      </c>
      <c r="C1473" s="7" t="str">
        <f>VLOOKUP(B1473,Indice!$B$1:$C$22,2,0)</f>
        <v>CEEEP</v>
      </c>
      <c r="D1473" s="7" t="str">
        <f>$A1473&amp;"-"&amp;$C1473&amp;"-"&amp;TEXT(COUNTIFS($A$2:$A1473,$A1473,$C$2:$C1473,$C1473),"000")</f>
        <v>F3-CEEEP-034</v>
      </c>
      <c r="E1473" s="7" t="s">
        <v>1504</v>
      </c>
      <c r="F1473" s="7" t="s">
        <v>1471</v>
      </c>
      <c r="G1473" s="7" t="s">
        <v>4</v>
      </c>
    </row>
    <row r="1474" spans="1:7">
      <c r="A1474" s="7" t="s">
        <v>1006</v>
      </c>
      <c r="B1474" s="7" t="s">
        <v>40</v>
      </c>
      <c r="C1474" s="7" t="str">
        <f>VLOOKUP(B1474,Indice!$B$1:$C$22,2,0)</f>
        <v>CEEEP</v>
      </c>
      <c r="D1474" s="7" t="str">
        <f>$A1474&amp;"-"&amp;$C1474&amp;"-"&amp;TEXT(COUNTIFS($A$2:$A1474,$A1474,$C$2:$C1474,$C1474),"000")</f>
        <v>F3-CEEEP-035</v>
      </c>
      <c r="E1474" s="7" t="s">
        <v>1505</v>
      </c>
      <c r="F1474" s="7" t="s">
        <v>1471</v>
      </c>
      <c r="G1474" s="7" t="s">
        <v>4</v>
      </c>
    </row>
    <row r="1475" spans="1:7">
      <c r="A1475" s="7" t="s">
        <v>1006</v>
      </c>
      <c r="B1475" s="7" t="s">
        <v>40</v>
      </c>
      <c r="C1475" s="7" t="str">
        <f>VLOOKUP(B1475,Indice!$B$1:$C$22,2,0)</f>
        <v>CEEEP</v>
      </c>
      <c r="D1475" s="7" t="str">
        <f>$A1475&amp;"-"&amp;$C1475&amp;"-"&amp;TEXT(COUNTIFS($A$2:$A1475,$A1475,$C$2:$C1475,$C1475),"000")</f>
        <v>F3-CEEEP-036</v>
      </c>
      <c r="E1475" s="7" t="s">
        <v>1506</v>
      </c>
      <c r="F1475" s="7" t="s">
        <v>1471</v>
      </c>
      <c r="G1475" s="7" t="s">
        <v>4</v>
      </c>
    </row>
    <row r="1476" spans="1:7">
      <c r="A1476" s="7" t="s">
        <v>1006</v>
      </c>
      <c r="B1476" s="7" t="s">
        <v>40</v>
      </c>
      <c r="C1476" s="7" t="str">
        <f>VLOOKUP(B1476,Indice!$B$1:$C$22,2,0)</f>
        <v>CEEEP</v>
      </c>
      <c r="D1476" s="7" t="str">
        <f>$A1476&amp;"-"&amp;$C1476&amp;"-"&amp;TEXT(COUNTIFS($A$2:$A1476,$A1476,$C$2:$C1476,$C1476),"000")</f>
        <v>F3-CEEEP-037</v>
      </c>
      <c r="E1476" s="7" t="s">
        <v>1507</v>
      </c>
      <c r="F1476" s="7" t="s">
        <v>1471</v>
      </c>
      <c r="G1476" s="7" t="s">
        <v>4</v>
      </c>
    </row>
    <row r="1477" spans="1:7">
      <c r="A1477" s="7" t="s">
        <v>1006</v>
      </c>
      <c r="B1477" s="7" t="s">
        <v>40</v>
      </c>
      <c r="C1477" s="7" t="str">
        <f>VLOOKUP(B1477,Indice!$B$1:$C$22,2,0)</f>
        <v>CEEEP</v>
      </c>
      <c r="D1477" s="7" t="str">
        <f>$A1477&amp;"-"&amp;$C1477&amp;"-"&amp;TEXT(COUNTIFS($A$2:$A1477,$A1477,$C$2:$C1477,$C1477),"000")</f>
        <v>F3-CEEEP-038</v>
      </c>
      <c r="E1477" s="7" t="s">
        <v>1508</v>
      </c>
      <c r="F1477" s="7" t="s">
        <v>1471</v>
      </c>
      <c r="G1477" s="7" t="s">
        <v>4</v>
      </c>
    </row>
    <row r="1478" spans="1:7">
      <c r="A1478" s="7" t="s">
        <v>1006</v>
      </c>
      <c r="B1478" s="7" t="s">
        <v>40</v>
      </c>
      <c r="C1478" s="7" t="str">
        <f>VLOOKUP(B1478,Indice!$B$1:$C$22,2,0)</f>
        <v>CEEEP</v>
      </c>
      <c r="D1478" s="7" t="str">
        <f>$A1478&amp;"-"&amp;$C1478&amp;"-"&amp;TEXT(COUNTIFS($A$2:$A1478,$A1478,$C$2:$C1478,$C1478),"000")</f>
        <v>F3-CEEEP-039</v>
      </c>
      <c r="E1478" s="7" t="s">
        <v>1509</v>
      </c>
      <c r="F1478" s="7" t="s">
        <v>1471</v>
      </c>
      <c r="G1478" s="7" t="s">
        <v>4</v>
      </c>
    </row>
    <row r="1479" spans="1:7">
      <c r="A1479" s="7" t="s">
        <v>1006</v>
      </c>
      <c r="B1479" s="7" t="s">
        <v>40</v>
      </c>
      <c r="C1479" s="7" t="str">
        <f>VLOOKUP(B1479,Indice!$B$1:$C$22,2,0)</f>
        <v>CEEEP</v>
      </c>
      <c r="D1479" s="7" t="str">
        <f>$A1479&amp;"-"&amp;$C1479&amp;"-"&amp;TEXT(COUNTIFS($A$2:$A1479,$A1479,$C$2:$C1479,$C1479),"000")</f>
        <v>F3-CEEEP-040</v>
      </c>
      <c r="E1479" s="7" t="s">
        <v>1510</v>
      </c>
      <c r="F1479" s="7" t="s">
        <v>1471</v>
      </c>
      <c r="G1479" s="7" t="s">
        <v>4</v>
      </c>
    </row>
    <row r="1480" spans="1:7">
      <c r="A1480" s="7" t="s">
        <v>1006</v>
      </c>
      <c r="B1480" s="7" t="s">
        <v>40</v>
      </c>
      <c r="C1480" s="7" t="str">
        <f>VLOOKUP(B1480,Indice!$B$1:$C$22,2,0)</f>
        <v>CEEEP</v>
      </c>
      <c r="D1480" s="7" t="str">
        <f>$A1480&amp;"-"&amp;$C1480&amp;"-"&amp;TEXT(COUNTIFS($A$2:$A1480,$A1480,$C$2:$C1480,$C1480),"000")</f>
        <v>F3-CEEEP-041</v>
      </c>
      <c r="E1480" s="7" t="s">
        <v>1511</v>
      </c>
      <c r="F1480" s="7" t="s">
        <v>1471</v>
      </c>
      <c r="G1480" s="7" t="s">
        <v>4</v>
      </c>
    </row>
    <row r="1481" spans="1:7">
      <c r="A1481" s="7" t="s">
        <v>1006</v>
      </c>
      <c r="B1481" s="7" t="s">
        <v>40</v>
      </c>
      <c r="C1481" s="7" t="str">
        <f>VLOOKUP(B1481,Indice!$B$1:$C$22,2,0)</f>
        <v>CEEEP</v>
      </c>
      <c r="D1481" s="7" t="str">
        <f>$A1481&amp;"-"&amp;$C1481&amp;"-"&amp;TEXT(COUNTIFS($A$2:$A1481,$A1481,$C$2:$C1481,$C1481),"000")</f>
        <v>F3-CEEEP-042</v>
      </c>
      <c r="E1481" s="7" t="s">
        <v>1512</v>
      </c>
      <c r="F1481" s="7" t="s">
        <v>1471</v>
      </c>
      <c r="G1481" s="7" t="s">
        <v>4</v>
      </c>
    </row>
    <row r="1482" spans="1:7">
      <c r="A1482" s="7" t="s">
        <v>1006</v>
      </c>
      <c r="B1482" s="7" t="s">
        <v>40</v>
      </c>
      <c r="C1482" s="7" t="str">
        <f>VLOOKUP(B1482,Indice!$B$1:$C$22,2,0)</f>
        <v>CEEEP</v>
      </c>
      <c r="D1482" s="7" t="str">
        <f>$A1482&amp;"-"&amp;$C1482&amp;"-"&amp;TEXT(COUNTIFS($A$2:$A1482,$A1482,$C$2:$C1482,$C1482),"000")</f>
        <v>F3-CEEEP-043</v>
      </c>
      <c r="E1482" s="7" t="s">
        <v>1513</v>
      </c>
      <c r="F1482" s="7" t="s">
        <v>1471</v>
      </c>
      <c r="G1482" s="7" t="s">
        <v>4</v>
      </c>
    </row>
    <row r="1483" spans="1:7">
      <c r="A1483" s="7" t="s">
        <v>1006</v>
      </c>
      <c r="B1483" s="7" t="s">
        <v>40</v>
      </c>
      <c r="C1483" s="7" t="str">
        <f>VLOOKUP(B1483,Indice!$B$1:$C$22,2,0)</f>
        <v>CEEEP</v>
      </c>
      <c r="D1483" s="7" t="str">
        <f>$A1483&amp;"-"&amp;$C1483&amp;"-"&amp;TEXT(COUNTIFS($A$2:$A1483,$A1483,$C$2:$C1483,$C1483),"000")</f>
        <v>F3-CEEEP-044</v>
      </c>
      <c r="E1483" s="7" t="s">
        <v>1514</v>
      </c>
      <c r="F1483" s="7" t="s">
        <v>1471</v>
      </c>
      <c r="G1483" s="7" t="s">
        <v>4</v>
      </c>
    </row>
    <row r="1484" spans="1:7">
      <c r="A1484" s="7" t="s">
        <v>1006</v>
      </c>
      <c r="B1484" s="7" t="s">
        <v>40</v>
      </c>
      <c r="C1484" s="7" t="str">
        <f>VLOOKUP(B1484,Indice!$B$1:$C$22,2,0)</f>
        <v>CEEEP</v>
      </c>
      <c r="D1484" s="7" t="str">
        <f>$A1484&amp;"-"&amp;$C1484&amp;"-"&amp;TEXT(COUNTIFS($A$2:$A1484,$A1484,$C$2:$C1484,$C1484),"000")</f>
        <v>F3-CEEEP-045</v>
      </c>
      <c r="E1484" s="7" t="s">
        <v>1515</v>
      </c>
      <c r="F1484" s="7" t="s">
        <v>1471</v>
      </c>
      <c r="G1484" s="7" t="s">
        <v>4</v>
      </c>
    </row>
    <row r="1485" spans="1:7">
      <c r="A1485" s="7" t="s">
        <v>1006</v>
      </c>
      <c r="B1485" s="7" t="s">
        <v>40</v>
      </c>
      <c r="C1485" s="7" t="str">
        <f>VLOOKUP(B1485,Indice!$B$1:$C$22,2,0)</f>
        <v>CEEEP</v>
      </c>
      <c r="D1485" s="7" t="str">
        <f>$A1485&amp;"-"&amp;$C1485&amp;"-"&amp;TEXT(COUNTIFS($A$2:$A1485,$A1485,$C$2:$C1485,$C1485),"000")</f>
        <v>F3-CEEEP-046</v>
      </c>
      <c r="E1485" s="7" t="s">
        <v>1516</v>
      </c>
      <c r="F1485" s="7" t="s">
        <v>1471</v>
      </c>
      <c r="G1485" s="7" t="s">
        <v>4</v>
      </c>
    </row>
    <row r="1486" spans="1:7">
      <c r="A1486" s="7" t="s">
        <v>1006</v>
      </c>
      <c r="B1486" s="7" t="s">
        <v>40</v>
      </c>
      <c r="C1486" s="7" t="str">
        <f>VLOOKUP(B1486,Indice!$B$1:$C$22,2,0)</f>
        <v>CEEEP</v>
      </c>
      <c r="D1486" s="7" t="str">
        <f>$A1486&amp;"-"&amp;$C1486&amp;"-"&amp;TEXT(COUNTIFS($A$2:$A1486,$A1486,$C$2:$C1486,$C1486),"000")</f>
        <v>F3-CEEEP-047</v>
      </c>
      <c r="E1486" s="7" t="s">
        <v>1517</v>
      </c>
      <c r="F1486" s="7" t="s">
        <v>1471</v>
      </c>
      <c r="G1486" s="7" t="s">
        <v>4</v>
      </c>
    </row>
    <row r="1487" spans="1:7">
      <c r="A1487" s="7" t="s">
        <v>1006</v>
      </c>
      <c r="B1487" s="7" t="s">
        <v>40</v>
      </c>
      <c r="C1487" s="7" t="str">
        <f>VLOOKUP(B1487,Indice!$B$1:$C$22,2,0)</f>
        <v>CEEEP</v>
      </c>
      <c r="D1487" s="7" t="str">
        <f>$A1487&amp;"-"&amp;$C1487&amp;"-"&amp;TEXT(COUNTIFS($A$2:$A1487,$A1487,$C$2:$C1487,$C1487),"000")</f>
        <v>F3-CEEEP-048</v>
      </c>
      <c r="E1487" s="7" t="s">
        <v>1518</v>
      </c>
      <c r="F1487" s="7" t="s">
        <v>1471</v>
      </c>
      <c r="G1487" s="7" t="s">
        <v>4</v>
      </c>
    </row>
    <row r="1488" spans="1:7">
      <c r="A1488" s="7" t="s">
        <v>1006</v>
      </c>
      <c r="B1488" s="7" t="s">
        <v>40</v>
      </c>
      <c r="C1488" s="7" t="str">
        <f>VLOOKUP(B1488,Indice!$B$1:$C$22,2,0)</f>
        <v>CEEEP</v>
      </c>
      <c r="D1488" s="7" t="str">
        <f>$A1488&amp;"-"&amp;$C1488&amp;"-"&amp;TEXT(COUNTIFS($A$2:$A1488,$A1488,$C$2:$C1488,$C1488),"000")</f>
        <v>F3-CEEEP-049</v>
      </c>
      <c r="E1488" s="7" t="s">
        <v>1519</v>
      </c>
      <c r="F1488" s="7" t="s">
        <v>1471</v>
      </c>
      <c r="G1488" s="7" t="s">
        <v>4</v>
      </c>
    </row>
    <row r="1489" spans="1:7">
      <c r="A1489" s="7" t="s">
        <v>1006</v>
      </c>
      <c r="B1489" s="7" t="s">
        <v>40</v>
      </c>
      <c r="C1489" s="7" t="str">
        <f>VLOOKUP(B1489,Indice!$B$1:$C$22,2,0)</f>
        <v>CEEEP</v>
      </c>
      <c r="D1489" s="7" t="str">
        <f>$A1489&amp;"-"&amp;$C1489&amp;"-"&amp;TEXT(COUNTIFS($A$2:$A1489,$A1489,$C$2:$C1489,$C1489),"000")</f>
        <v>F3-CEEEP-050</v>
      </c>
      <c r="E1489" s="7" t="s">
        <v>1520</v>
      </c>
      <c r="F1489" s="7" t="s">
        <v>1471</v>
      </c>
      <c r="G1489" s="7" t="s">
        <v>4</v>
      </c>
    </row>
    <row r="1490" spans="1:7">
      <c r="A1490" s="7" t="s">
        <v>1006</v>
      </c>
      <c r="B1490" s="7" t="s">
        <v>40</v>
      </c>
      <c r="C1490" s="7" t="str">
        <f>VLOOKUP(B1490,Indice!$B$1:$C$22,2,0)</f>
        <v>CEEEP</v>
      </c>
      <c r="D1490" s="7" t="str">
        <f>$A1490&amp;"-"&amp;$C1490&amp;"-"&amp;TEXT(COUNTIFS($A$2:$A1490,$A1490,$C$2:$C1490,$C1490),"000")</f>
        <v>F3-CEEEP-051</v>
      </c>
      <c r="E1490" s="7" t="s">
        <v>1521</v>
      </c>
      <c r="F1490" s="7" t="s">
        <v>1471</v>
      </c>
      <c r="G1490" s="7" t="s">
        <v>4</v>
      </c>
    </row>
    <row r="1491" spans="1:7">
      <c r="A1491" s="7" t="s">
        <v>1006</v>
      </c>
      <c r="B1491" s="7" t="s">
        <v>40</v>
      </c>
      <c r="C1491" s="7" t="str">
        <f>VLOOKUP(B1491,Indice!$B$1:$C$22,2,0)</f>
        <v>CEEEP</v>
      </c>
      <c r="D1491" s="7" t="str">
        <f>$A1491&amp;"-"&amp;$C1491&amp;"-"&amp;TEXT(COUNTIFS($A$2:$A1491,$A1491,$C$2:$C1491,$C1491),"000")</f>
        <v>F3-CEEEP-052</v>
      </c>
      <c r="E1491" s="7" t="s">
        <v>1522</v>
      </c>
      <c r="F1491" s="7" t="s">
        <v>1471</v>
      </c>
      <c r="G1491" s="7" t="s">
        <v>4</v>
      </c>
    </row>
    <row r="1492" spans="1:7">
      <c r="A1492" s="7" t="s">
        <v>1006</v>
      </c>
      <c r="B1492" s="7" t="s">
        <v>40</v>
      </c>
      <c r="C1492" s="7" t="str">
        <f>VLOOKUP(B1492,Indice!$B$1:$C$22,2,0)</f>
        <v>CEEEP</v>
      </c>
      <c r="D1492" s="7" t="str">
        <f>$A1492&amp;"-"&amp;$C1492&amp;"-"&amp;TEXT(COUNTIFS($A$2:$A1492,$A1492,$C$2:$C1492,$C1492),"000")</f>
        <v>F3-CEEEP-053</v>
      </c>
      <c r="E1492" s="7" t="s">
        <v>1523</v>
      </c>
      <c r="F1492" s="7" t="s">
        <v>1471</v>
      </c>
      <c r="G1492" s="7" t="s">
        <v>4</v>
      </c>
    </row>
    <row r="1493" spans="1:7">
      <c r="A1493" s="7" t="s">
        <v>1006</v>
      </c>
      <c r="B1493" s="7" t="s">
        <v>40</v>
      </c>
      <c r="C1493" s="7" t="str">
        <f>VLOOKUP(B1493,Indice!$B$1:$C$22,2,0)</f>
        <v>CEEEP</v>
      </c>
      <c r="D1493" s="7" t="str">
        <f>$A1493&amp;"-"&amp;$C1493&amp;"-"&amp;TEXT(COUNTIFS($A$2:$A1493,$A1493,$C$2:$C1493,$C1493),"000")</f>
        <v>F3-CEEEP-054</v>
      </c>
      <c r="E1493" s="7" t="s">
        <v>1524</v>
      </c>
      <c r="F1493" s="7" t="s">
        <v>1471</v>
      </c>
      <c r="G1493" s="7" t="s">
        <v>4</v>
      </c>
    </row>
    <row r="1494" spans="1:7">
      <c r="A1494" s="7" t="s">
        <v>1006</v>
      </c>
      <c r="B1494" s="7" t="s">
        <v>40</v>
      </c>
      <c r="C1494" s="7" t="str">
        <f>VLOOKUP(B1494,Indice!$B$1:$C$22,2,0)</f>
        <v>CEEEP</v>
      </c>
      <c r="D1494" s="7" t="str">
        <f>$A1494&amp;"-"&amp;$C1494&amp;"-"&amp;TEXT(COUNTIFS($A$2:$A1494,$A1494,$C$2:$C1494,$C1494),"000")</f>
        <v>F3-CEEEP-055</v>
      </c>
      <c r="E1494" s="7" t="s">
        <v>1525</v>
      </c>
      <c r="F1494" s="7" t="s">
        <v>1471</v>
      </c>
      <c r="G1494" s="7" t="s">
        <v>4</v>
      </c>
    </row>
    <row r="1495" spans="1:7">
      <c r="A1495" s="7" t="s">
        <v>1006</v>
      </c>
      <c r="B1495" s="7" t="s">
        <v>40</v>
      </c>
      <c r="C1495" s="7" t="str">
        <f>VLOOKUP(B1495,Indice!$B$1:$C$22,2,0)</f>
        <v>CEEEP</v>
      </c>
      <c r="D1495" s="7" t="str">
        <f>$A1495&amp;"-"&amp;$C1495&amp;"-"&amp;TEXT(COUNTIFS($A$2:$A1495,$A1495,$C$2:$C1495,$C1495),"000")</f>
        <v>F3-CEEEP-056</v>
      </c>
      <c r="E1495" s="7" t="s">
        <v>1526</v>
      </c>
      <c r="F1495" s="7" t="s">
        <v>1471</v>
      </c>
      <c r="G1495" s="7" t="s">
        <v>4</v>
      </c>
    </row>
    <row r="1496" spans="1:7">
      <c r="A1496" s="7" t="s">
        <v>1006</v>
      </c>
      <c r="B1496" s="7" t="s">
        <v>40</v>
      </c>
      <c r="C1496" s="7" t="str">
        <f>VLOOKUP(B1496,Indice!$B$1:$C$22,2,0)</f>
        <v>CEEEP</v>
      </c>
      <c r="D1496" s="7" t="str">
        <f>$A1496&amp;"-"&amp;$C1496&amp;"-"&amp;TEXT(COUNTIFS($A$2:$A1496,$A1496,$C$2:$C1496,$C1496),"000")</f>
        <v>F3-CEEEP-057</v>
      </c>
      <c r="E1496" s="7" t="s">
        <v>1527</v>
      </c>
      <c r="F1496" s="7" t="s">
        <v>1471</v>
      </c>
      <c r="G1496" s="7" t="s">
        <v>4</v>
      </c>
    </row>
    <row r="1497" spans="1:7">
      <c r="A1497" s="7" t="s">
        <v>1006</v>
      </c>
      <c r="B1497" s="7" t="s">
        <v>40</v>
      </c>
      <c r="C1497" s="7" t="str">
        <f>VLOOKUP(B1497,Indice!$B$1:$C$22,2,0)</f>
        <v>CEEEP</v>
      </c>
      <c r="D1497" s="7" t="str">
        <f>$A1497&amp;"-"&amp;$C1497&amp;"-"&amp;TEXT(COUNTIFS($A$2:$A1497,$A1497,$C$2:$C1497,$C1497),"000")</f>
        <v>F3-CEEEP-058</v>
      </c>
      <c r="E1497" s="7" t="s">
        <v>1528</v>
      </c>
      <c r="F1497" s="7" t="s">
        <v>1471</v>
      </c>
      <c r="G1497" s="7" t="s">
        <v>4</v>
      </c>
    </row>
    <row r="1498" spans="1:7">
      <c r="A1498" s="7" t="s">
        <v>1006</v>
      </c>
      <c r="B1498" s="7" t="s">
        <v>40</v>
      </c>
      <c r="C1498" s="7" t="str">
        <f>VLOOKUP(B1498,Indice!$B$1:$C$22,2,0)</f>
        <v>CEEEP</v>
      </c>
      <c r="D1498" s="7" t="str">
        <f>$A1498&amp;"-"&amp;$C1498&amp;"-"&amp;TEXT(COUNTIFS($A$2:$A1498,$A1498,$C$2:$C1498,$C1498),"000")</f>
        <v>F3-CEEEP-059</v>
      </c>
      <c r="E1498" s="7" t="s">
        <v>1529</v>
      </c>
      <c r="F1498" s="7" t="s">
        <v>1471</v>
      </c>
      <c r="G1498" s="7" t="s">
        <v>4</v>
      </c>
    </row>
    <row r="1499" spans="1:7">
      <c r="A1499" s="7" t="s">
        <v>1006</v>
      </c>
      <c r="B1499" s="7" t="s">
        <v>40</v>
      </c>
      <c r="C1499" s="7" t="str">
        <f>VLOOKUP(B1499,Indice!$B$1:$C$22,2,0)</f>
        <v>CEEEP</v>
      </c>
      <c r="D1499" s="7" t="str">
        <f>$A1499&amp;"-"&amp;$C1499&amp;"-"&amp;TEXT(COUNTIFS($A$2:$A1499,$A1499,$C$2:$C1499,$C1499),"000")</f>
        <v>F3-CEEEP-060</v>
      </c>
      <c r="E1499" s="7" t="s">
        <v>1530</v>
      </c>
      <c r="F1499" s="7" t="s">
        <v>1471</v>
      </c>
      <c r="G1499" s="7" t="s">
        <v>4</v>
      </c>
    </row>
    <row r="1500" spans="1:7">
      <c r="A1500" s="7" t="s">
        <v>1006</v>
      </c>
      <c r="B1500" s="7" t="s">
        <v>40</v>
      </c>
      <c r="C1500" s="7" t="str">
        <f>VLOOKUP(B1500,Indice!$B$1:$C$22,2,0)</f>
        <v>CEEEP</v>
      </c>
      <c r="D1500" s="7" t="str">
        <f>$A1500&amp;"-"&amp;$C1500&amp;"-"&amp;TEXT(COUNTIFS($A$2:$A1500,$A1500,$C$2:$C1500,$C1500),"000")</f>
        <v>F3-CEEEP-061</v>
      </c>
      <c r="E1500" s="7" t="s">
        <v>1531</v>
      </c>
      <c r="F1500" s="7" t="s">
        <v>1471</v>
      </c>
      <c r="G1500" s="7" t="s">
        <v>4</v>
      </c>
    </row>
    <row r="1501" spans="1:7">
      <c r="A1501" s="7" t="s">
        <v>1006</v>
      </c>
      <c r="B1501" s="7" t="s">
        <v>40</v>
      </c>
      <c r="C1501" s="7" t="str">
        <f>VLOOKUP(B1501,Indice!$B$1:$C$22,2,0)</f>
        <v>CEEEP</v>
      </c>
      <c r="D1501" s="7" t="str">
        <f>$A1501&amp;"-"&amp;$C1501&amp;"-"&amp;TEXT(COUNTIFS($A$2:$A1501,$A1501,$C$2:$C1501,$C1501),"000")</f>
        <v>F3-CEEEP-062</v>
      </c>
      <c r="E1501" s="7" t="s">
        <v>1532</v>
      </c>
      <c r="F1501" s="7" t="s">
        <v>1471</v>
      </c>
      <c r="G1501" s="7" t="s">
        <v>4</v>
      </c>
    </row>
    <row r="1502" spans="1:7">
      <c r="A1502" s="7" t="s">
        <v>1006</v>
      </c>
      <c r="B1502" s="7" t="s">
        <v>40</v>
      </c>
      <c r="C1502" s="7" t="str">
        <f>VLOOKUP(B1502,Indice!$B$1:$C$22,2,0)</f>
        <v>CEEEP</v>
      </c>
      <c r="D1502" s="7" t="str">
        <f>$A1502&amp;"-"&amp;$C1502&amp;"-"&amp;TEXT(COUNTIFS($A$2:$A1502,$A1502,$C$2:$C1502,$C1502),"000")</f>
        <v>F3-CEEEP-063</v>
      </c>
      <c r="E1502" s="7" t="s">
        <v>1533</v>
      </c>
      <c r="F1502" s="7" t="s">
        <v>1471</v>
      </c>
      <c r="G1502" s="7" t="s">
        <v>4</v>
      </c>
    </row>
    <row r="1503" spans="1:7">
      <c r="A1503" s="7" t="s">
        <v>1006</v>
      </c>
      <c r="B1503" s="7" t="s">
        <v>40</v>
      </c>
      <c r="C1503" s="7" t="str">
        <f>VLOOKUP(B1503,Indice!$B$1:$C$22,2,0)</f>
        <v>CEEEP</v>
      </c>
      <c r="D1503" s="7" t="str">
        <f>$A1503&amp;"-"&amp;$C1503&amp;"-"&amp;TEXT(COUNTIFS($A$2:$A1503,$A1503,$C$2:$C1503,$C1503),"000")</f>
        <v>F3-CEEEP-064</v>
      </c>
      <c r="E1503" s="7" t="s">
        <v>1534</v>
      </c>
      <c r="F1503" s="7" t="s">
        <v>1471</v>
      </c>
      <c r="G1503" s="7" t="s">
        <v>4</v>
      </c>
    </row>
    <row r="1504" spans="1:7">
      <c r="A1504" s="7" t="s">
        <v>1006</v>
      </c>
      <c r="B1504" s="7" t="s">
        <v>40</v>
      </c>
      <c r="C1504" s="7" t="str">
        <f>VLOOKUP(B1504,Indice!$B$1:$C$22,2,0)</f>
        <v>CEEEP</v>
      </c>
      <c r="D1504" s="7" t="str">
        <f>$A1504&amp;"-"&amp;$C1504&amp;"-"&amp;TEXT(COUNTIFS($A$2:$A1504,$A1504,$C$2:$C1504,$C1504),"000")</f>
        <v>F3-CEEEP-065</v>
      </c>
      <c r="E1504" s="7" t="s">
        <v>1535</v>
      </c>
      <c r="F1504" s="7" t="s">
        <v>1471</v>
      </c>
      <c r="G1504" s="7" t="s">
        <v>4</v>
      </c>
    </row>
    <row r="1505" spans="1:7">
      <c r="A1505" s="7" t="s">
        <v>1006</v>
      </c>
      <c r="B1505" s="7" t="s">
        <v>40</v>
      </c>
      <c r="C1505" s="7" t="str">
        <f>VLOOKUP(B1505,Indice!$B$1:$C$22,2,0)</f>
        <v>CEEEP</v>
      </c>
      <c r="D1505" s="7" t="str">
        <f>$A1505&amp;"-"&amp;$C1505&amp;"-"&amp;TEXT(COUNTIFS($A$2:$A1505,$A1505,$C$2:$C1505,$C1505),"000")</f>
        <v>F3-CEEEP-066</v>
      </c>
      <c r="E1505" s="7" t="s">
        <v>1536</v>
      </c>
      <c r="F1505" s="7" t="s">
        <v>1471</v>
      </c>
      <c r="G1505" s="7" t="s">
        <v>4</v>
      </c>
    </row>
    <row r="1506" spans="1:7">
      <c r="A1506" s="7" t="s">
        <v>1006</v>
      </c>
      <c r="B1506" s="7" t="s">
        <v>40</v>
      </c>
      <c r="C1506" s="7" t="str">
        <f>VLOOKUP(B1506,Indice!$B$1:$C$22,2,0)</f>
        <v>CEEEP</v>
      </c>
      <c r="D1506" s="7" t="str">
        <f>$A1506&amp;"-"&amp;$C1506&amp;"-"&amp;TEXT(COUNTIFS($A$2:$A1506,$A1506,$C$2:$C1506,$C1506),"000")</f>
        <v>F3-CEEEP-067</v>
      </c>
      <c r="E1506" s="7" t="s">
        <v>1537</v>
      </c>
      <c r="F1506" s="7" t="s">
        <v>1471</v>
      </c>
      <c r="G1506" s="7" t="s">
        <v>4</v>
      </c>
    </row>
    <row r="1507" spans="1:7">
      <c r="A1507" s="7" t="s">
        <v>1006</v>
      </c>
      <c r="B1507" s="7" t="s">
        <v>40</v>
      </c>
      <c r="C1507" s="7" t="str">
        <f>VLOOKUP(B1507,Indice!$B$1:$C$22,2,0)</f>
        <v>CEEEP</v>
      </c>
      <c r="D1507" s="7" t="str">
        <f>$A1507&amp;"-"&amp;$C1507&amp;"-"&amp;TEXT(COUNTIFS($A$2:$A1507,$A1507,$C$2:$C1507,$C1507),"000")</f>
        <v>F3-CEEEP-068</v>
      </c>
      <c r="E1507" s="7" t="s">
        <v>1538</v>
      </c>
      <c r="F1507" s="7" t="s">
        <v>1471</v>
      </c>
      <c r="G1507" s="7" t="s">
        <v>4</v>
      </c>
    </row>
    <row r="1508" spans="1:7">
      <c r="A1508" s="7" t="s">
        <v>1006</v>
      </c>
      <c r="B1508" s="7" t="s">
        <v>40</v>
      </c>
      <c r="C1508" s="7" t="str">
        <f>VLOOKUP(B1508,Indice!$B$1:$C$22,2,0)</f>
        <v>CEEEP</v>
      </c>
      <c r="D1508" s="7" t="str">
        <f>$A1508&amp;"-"&amp;$C1508&amp;"-"&amp;TEXT(COUNTIFS($A$2:$A1508,$A1508,$C$2:$C1508,$C1508),"000")</f>
        <v>F3-CEEEP-069</v>
      </c>
      <c r="E1508" s="7" t="s">
        <v>1539</v>
      </c>
      <c r="F1508" s="7" t="s">
        <v>1471</v>
      </c>
      <c r="G1508" s="7" t="s">
        <v>4</v>
      </c>
    </row>
    <row r="1509" spans="1:7">
      <c r="A1509" s="7" t="s">
        <v>1006</v>
      </c>
      <c r="B1509" s="7" t="s">
        <v>40</v>
      </c>
      <c r="C1509" s="7" t="str">
        <f>VLOOKUP(B1509,Indice!$B$1:$C$22,2,0)</f>
        <v>CEEEP</v>
      </c>
      <c r="D1509" s="7" t="str">
        <f>$A1509&amp;"-"&amp;$C1509&amp;"-"&amp;TEXT(COUNTIFS($A$2:$A1509,$A1509,$C$2:$C1509,$C1509),"000")</f>
        <v>F3-CEEEP-070</v>
      </c>
      <c r="E1509" s="7" t="s">
        <v>1540</v>
      </c>
      <c r="F1509" s="7" t="s">
        <v>1471</v>
      </c>
      <c r="G1509" s="7" t="s">
        <v>4</v>
      </c>
    </row>
    <row r="1510" spans="1:7">
      <c r="A1510" s="7" t="s">
        <v>1006</v>
      </c>
      <c r="B1510" s="7" t="s">
        <v>40</v>
      </c>
      <c r="C1510" s="7" t="str">
        <f>VLOOKUP(B1510,Indice!$B$1:$C$22,2,0)</f>
        <v>CEEEP</v>
      </c>
      <c r="D1510" s="7" t="str">
        <f>$A1510&amp;"-"&amp;$C1510&amp;"-"&amp;TEXT(COUNTIFS($A$2:$A1510,$A1510,$C$2:$C1510,$C1510),"000")</f>
        <v>F3-CEEEP-071</v>
      </c>
      <c r="E1510" s="7" t="s">
        <v>1541</v>
      </c>
      <c r="F1510" s="7" t="s">
        <v>1471</v>
      </c>
      <c r="G1510" s="7" t="s">
        <v>4</v>
      </c>
    </row>
    <row r="1511" spans="1:7">
      <c r="A1511" s="7" t="s">
        <v>1006</v>
      </c>
      <c r="B1511" s="7" t="s">
        <v>40</v>
      </c>
      <c r="C1511" s="7" t="str">
        <f>VLOOKUP(B1511,Indice!$B$1:$C$22,2,0)</f>
        <v>CEEEP</v>
      </c>
      <c r="D1511" s="7" t="str">
        <f>$A1511&amp;"-"&amp;$C1511&amp;"-"&amp;TEXT(COUNTIFS($A$2:$A1511,$A1511,$C$2:$C1511,$C1511),"000")</f>
        <v>F3-CEEEP-072</v>
      </c>
      <c r="E1511" s="7" t="s">
        <v>1542</v>
      </c>
      <c r="F1511" s="7" t="s">
        <v>1471</v>
      </c>
      <c r="G1511" s="7" t="s">
        <v>4</v>
      </c>
    </row>
    <row r="1512" spans="1:7">
      <c r="A1512" s="7" t="s">
        <v>1006</v>
      </c>
      <c r="B1512" s="7" t="s">
        <v>40</v>
      </c>
      <c r="C1512" s="7" t="str">
        <f>VLOOKUP(B1512,Indice!$B$1:$C$22,2,0)</f>
        <v>CEEEP</v>
      </c>
      <c r="D1512" s="7" t="str">
        <f>$A1512&amp;"-"&amp;$C1512&amp;"-"&amp;TEXT(COUNTIFS($A$2:$A1512,$A1512,$C$2:$C1512,$C1512),"000")</f>
        <v>F3-CEEEP-073</v>
      </c>
      <c r="E1512" s="7" t="s">
        <v>1543</v>
      </c>
      <c r="F1512" s="7" t="s">
        <v>1471</v>
      </c>
      <c r="G1512" s="7" t="s">
        <v>4</v>
      </c>
    </row>
    <row r="1513" spans="1:7">
      <c r="A1513" s="7" t="s">
        <v>1006</v>
      </c>
      <c r="B1513" s="7" t="s">
        <v>40</v>
      </c>
      <c r="C1513" s="7" t="str">
        <f>VLOOKUP(B1513,Indice!$B$1:$C$22,2,0)</f>
        <v>CEEEP</v>
      </c>
      <c r="D1513" s="7" t="str">
        <f>$A1513&amp;"-"&amp;$C1513&amp;"-"&amp;TEXT(COUNTIFS($A$2:$A1513,$A1513,$C$2:$C1513,$C1513),"000")</f>
        <v>F3-CEEEP-074</v>
      </c>
      <c r="E1513" s="7" t="s">
        <v>1544</v>
      </c>
      <c r="F1513" s="7" t="s">
        <v>1471</v>
      </c>
      <c r="G1513" s="7" t="s">
        <v>4</v>
      </c>
    </row>
    <row r="1514" spans="1:7">
      <c r="A1514" s="7" t="s">
        <v>1006</v>
      </c>
      <c r="B1514" s="7" t="s">
        <v>40</v>
      </c>
      <c r="C1514" s="7" t="str">
        <f>VLOOKUP(B1514,Indice!$B$1:$C$22,2,0)</f>
        <v>CEEEP</v>
      </c>
      <c r="D1514" s="7" t="str">
        <f>$A1514&amp;"-"&amp;$C1514&amp;"-"&amp;TEXT(COUNTIFS($A$2:$A1514,$A1514,$C$2:$C1514,$C1514),"000")</f>
        <v>F3-CEEEP-075</v>
      </c>
      <c r="E1514" s="7" t="s">
        <v>1545</v>
      </c>
      <c r="F1514" s="7" t="s">
        <v>1471</v>
      </c>
      <c r="G1514" s="7" t="s">
        <v>4</v>
      </c>
    </row>
    <row r="1515" spans="1:7">
      <c r="A1515" s="7" t="s">
        <v>1006</v>
      </c>
      <c r="B1515" s="7" t="s">
        <v>40</v>
      </c>
      <c r="C1515" s="7" t="str">
        <f>VLOOKUP(B1515,Indice!$B$1:$C$22,2,0)</f>
        <v>CEEEP</v>
      </c>
      <c r="D1515" s="7" t="str">
        <f>$A1515&amp;"-"&amp;$C1515&amp;"-"&amp;TEXT(COUNTIFS($A$2:$A1515,$A1515,$C$2:$C1515,$C1515),"000")</f>
        <v>F3-CEEEP-076</v>
      </c>
      <c r="E1515" s="7" t="s">
        <v>1546</v>
      </c>
      <c r="F1515" s="7" t="s">
        <v>1471</v>
      </c>
      <c r="G1515" s="7" t="s">
        <v>4</v>
      </c>
    </row>
    <row r="1516" spans="1:7">
      <c r="A1516" s="7" t="s">
        <v>1006</v>
      </c>
      <c r="B1516" s="7" t="s">
        <v>40</v>
      </c>
      <c r="C1516" s="7" t="str">
        <f>VLOOKUP(B1516,Indice!$B$1:$C$22,2,0)</f>
        <v>CEEEP</v>
      </c>
      <c r="D1516" s="7" t="str">
        <f>$A1516&amp;"-"&amp;$C1516&amp;"-"&amp;TEXT(COUNTIFS($A$2:$A1516,$A1516,$C$2:$C1516,$C1516),"000")</f>
        <v>F3-CEEEP-077</v>
      </c>
      <c r="E1516" s="7" t="s">
        <v>1547</v>
      </c>
      <c r="F1516" s="7" t="s">
        <v>1471</v>
      </c>
      <c r="G1516" s="7" t="s">
        <v>4</v>
      </c>
    </row>
    <row r="1517" spans="1:7">
      <c r="A1517" s="7" t="s">
        <v>1006</v>
      </c>
      <c r="B1517" s="7" t="s">
        <v>40</v>
      </c>
      <c r="C1517" s="7" t="str">
        <f>VLOOKUP(B1517,Indice!$B$1:$C$22,2,0)</f>
        <v>CEEEP</v>
      </c>
      <c r="D1517" s="7" t="str">
        <f>$A1517&amp;"-"&amp;$C1517&amp;"-"&amp;TEXT(COUNTIFS($A$2:$A1517,$A1517,$C$2:$C1517,$C1517),"000")</f>
        <v>F3-CEEEP-078</v>
      </c>
      <c r="E1517" s="7" t="s">
        <v>1548</v>
      </c>
      <c r="F1517" s="7" t="s">
        <v>1471</v>
      </c>
      <c r="G1517" s="7" t="s">
        <v>4</v>
      </c>
    </row>
    <row r="1518" spans="1:7">
      <c r="A1518" s="7" t="s">
        <v>1006</v>
      </c>
      <c r="B1518" s="7" t="s">
        <v>40</v>
      </c>
      <c r="C1518" s="7" t="str">
        <f>VLOOKUP(B1518,Indice!$B$1:$C$22,2,0)</f>
        <v>CEEEP</v>
      </c>
      <c r="D1518" s="7" t="str">
        <f>$A1518&amp;"-"&amp;$C1518&amp;"-"&amp;TEXT(COUNTIFS($A$2:$A1518,$A1518,$C$2:$C1518,$C1518),"000")</f>
        <v>F3-CEEEP-079</v>
      </c>
      <c r="E1518" s="7" t="s">
        <v>1549</v>
      </c>
      <c r="F1518" s="7" t="s">
        <v>1471</v>
      </c>
      <c r="G1518" s="7" t="s">
        <v>4</v>
      </c>
    </row>
    <row r="1519" spans="1:7">
      <c r="A1519" s="7" t="s">
        <v>1006</v>
      </c>
      <c r="B1519" s="7" t="s">
        <v>40</v>
      </c>
      <c r="C1519" s="7" t="str">
        <f>VLOOKUP(B1519,Indice!$B$1:$C$22,2,0)</f>
        <v>CEEEP</v>
      </c>
      <c r="D1519" s="7" t="str">
        <f>$A1519&amp;"-"&amp;$C1519&amp;"-"&amp;TEXT(COUNTIFS($A$2:$A1519,$A1519,$C$2:$C1519,$C1519),"000")</f>
        <v>F3-CEEEP-080</v>
      </c>
      <c r="E1519" s="7" t="s">
        <v>1550</v>
      </c>
      <c r="F1519" s="7" t="s">
        <v>1471</v>
      </c>
      <c r="G1519" s="7" t="s">
        <v>4</v>
      </c>
    </row>
    <row r="1520" spans="1:7">
      <c r="A1520" s="7" t="s">
        <v>1006</v>
      </c>
      <c r="B1520" s="7" t="s">
        <v>41</v>
      </c>
      <c r="C1520" s="7" t="str">
        <f>VLOOKUP(B1520,Indice!$B$1:$C$22,2,0)</f>
        <v>CEOBS</v>
      </c>
      <c r="D1520" s="7" t="str">
        <f>$A1520&amp;"-"&amp;$C1520&amp;"-"&amp;TEXT(COUNTIFS($A$2:$A1520,$A1520,$C$2:$C1520,$C1520),"000")</f>
        <v>F3-CEOBS-001</v>
      </c>
      <c r="E1520" s="7" t="s">
        <v>1551</v>
      </c>
      <c r="F1520" s="7" t="s">
        <v>1552</v>
      </c>
      <c r="G1520" s="7" t="s">
        <v>4</v>
      </c>
    </row>
    <row r="1521" spans="1:7">
      <c r="A1521" s="7" t="s">
        <v>1006</v>
      </c>
      <c r="B1521" s="7" t="s">
        <v>41</v>
      </c>
      <c r="C1521" s="7" t="str">
        <f>VLOOKUP(B1521,Indice!$B$1:$C$22,2,0)</f>
        <v>CEOBS</v>
      </c>
      <c r="D1521" s="7" t="str">
        <f>$A1521&amp;"-"&amp;$C1521&amp;"-"&amp;TEXT(COUNTIFS($A$2:$A1521,$A1521,$C$2:$C1521,$C1521),"000")</f>
        <v>F3-CEOBS-002</v>
      </c>
      <c r="E1521" s="7" t="s">
        <v>1553</v>
      </c>
      <c r="F1521" s="7" t="s">
        <v>1552</v>
      </c>
      <c r="G1521" s="7" t="s">
        <v>4</v>
      </c>
    </row>
    <row r="1522" spans="1:7">
      <c r="A1522" s="7" t="s">
        <v>1006</v>
      </c>
      <c r="B1522" s="7" t="s">
        <v>41</v>
      </c>
      <c r="C1522" s="7" t="str">
        <f>VLOOKUP(B1522,Indice!$B$1:$C$22,2,0)</f>
        <v>CEOBS</v>
      </c>
      <c r="D1522" s="7" t="str">
        <f>$A1522&amp;"-"&amp;$C1522&amp;"-"&amp;TEXT(COUNTIFS($A$2:$A1522,$A1522,$C$2:$C1522,$C1522),"000")</f>
        <v>F3-CEOBS-003</v>
      </c>
      <c r="E1522" s="7" t="s">
        <v>1554</v>
      </c>
      <c r="F1522" s="7" t="s">
        <v>1555</v>
      </c>
      <c r="G1522" s="7" t="s">
        <v>3</v>
      </c>
    </row>
    <row r="1523" spans="1:7">
      <c r="A1523" s="7" t="s">
        <v>1006</v>
      </c>
      <c r="B1523" s="7" t="s">
        <v>41</v>
      </c>
      <c r="C1523" s="7" t="str">
        <f>VLOOKUP(B1523,Indice!$B$1:$C$22,2,0)</f>
        <v>CEOBS</v>
      </c>
      <c r="D1523" s="7" t="str">
        <f>$A1523&amp;"-"&amp;$C1523&amp;"-"&amp;TEXT(COUNTIFS($A$2:$A1523,$A1523,$C$2:$C1523,$C1523),"000")</f>
        <v>F3-CEOBS-004</v>
      </c>
      <c r="E1523" s="7" t="s">
        <v>1556</v>
      </c>
      <c r="F1523" s="7" t="s">
        <v>1552</v>
      </c>
      <c r="G1523" s="7" t="s">
        <v>4</v>
      </c>
    </row>
    <row r="1524" spans="1:7">
      <c r="A1524" s="7" t="s">
        <v>1006</v>
      </c>
      <c r="B1524" s="7" t="s">
        <v>41</v>
      </c>
      <c r="C1524" s="7" t="str">
        <f>VLOOKUP(B1524,Indice!$B$1:$C$22,2,0)</f>
        <v>CEOBS</v>
      </c>
      <c r="D1524" s="7" t="str">
        <f>$A1524&amp;"-"&amp;$C1524&amp;"-"&amp;TEXT(COUNTIFS($A$2:$A1524,$A1524,$C$2:$C1524,$C1524),"000")</f>
        <v>F3-CEOBS-005</v>
      </c>
      <c r="E1524" s="7" t="s">
        <v>1557</v>
      </c>
      <c r="F1524" s="7" t="s">
        <v>1552</v>
      </c>
      <c r="G1524" s="7" t="s">
        <v>4</v>
      </c>
    </row>
    <row r="1525" spans="1:7">
      <c r="A1525" s="7" t="s">
        <v>1006</v>
      </c>
      <c r="B1525" s="7" t="s">
        <v>41</v>
      </c>
      <c r="C1525" s="7" t="str">
        <f>VLOOKUP(B1525,Indice!$B$1:$C$22,2,0)</f>
        <v>CEOBS</v>
      </c>
      <c r="D1525" s="7" t="str">
        <f>$A1525&amp;"-"&amp;$C1525&amp;"-"&amp;TEXT(COUNTIFS($A$2:$A1525,$A1525,$C$2:$C1525,$C1525),"000")</f>
        <v>F3-CEOBS-006</v>
      </c>
      <c r="E1525" s="7" t="s">
        <v>1558</v>
      </c>
      <c r="F1525" s="7" t="s">
        <v>1552</v>
      </c>
      <c r="G1525" s="7" t="s">
        <v>4</v>
      </c>
    </row>
    <row r="1526" spans="1:7">
      <c r="A1526" s="7" t="s">
        <v>1006</v>
      </c>
      <c r="B1526" s="7" t="s">
        <v>41</v>
      </c>
      <c r="C1526" s="7" t="str">
        <f>VLOOKUP(B1526,Indice!$B$1:$C$22,2,0)</f>
        <v>CEOBS</v>
      </c>
      <c r="D1526" s="7" t="str">
        <f>$A1526&amp;"-"&amp;$C1526&amp;"-"&amp;TEXT(COUNTIFS($A$2:$A1526,$A1526,$C$2:$C1526,$C1526),"000")</f>
        <v>F3-CEOBS-007</v>
      </c>
      <c r="E1526" s="7" t="s">
        <v>1559</v>
      </c>
      <c r="F1526" s="7" t="s">
        <v>1552</v>
      </c>
      <c r="G1526" s="7" t="s">
        <v>4</v>
      </c>
    </row>
    <row r="1527" spans="1:7">
      <c r="A1527" s="7" t="s">
        <v>1006</v>
      </c>
      <c r="B1527" s="7" t="s">
        <v>41</v>
      </c>
      <c r="C1527" s="7" t="str">
        <f>VLOOKUP(B1527,Indice!$B$1:$C$22,2,0)</f>
        <v>CEOBS</v>
      </c>
      <c r="D1527" s="7" t="str">
        <f>$A1527&amp;"-"&amp;$C1527&amp;"-"&amp;TEXT(COUNTIFS($A$2:$A1527,$A1527,$C$2:$C1527,$C1527),"000")</f>
        <v>F3-CEOBS-008</v>
      </c>
      <c r="E1527" s="7" t="s">
        <v>1560</v>
      </c>
      <c r="F1527" s="7" t="s">
        <v>1552</v>
      </c>
      <c r="G1527" s="7" t="s">
        <v>4</v>
      </c>
    </row>
    <row r="1528" spans="1:7">
      <c r="A1528" s="7" t="s">
        <v>1006</v>
      </c>
      <c r="B1528" s="7" t="s">
        <v>41</v>
      </c>
      <c r="C1528" s="7" t="str">
        <f>VLOOKUP(B1528,Indice!$B$1:$C$22,2,0)</f>
        <v>CEOBS</v>
      </c>
      <c r="D1528" s="7" t="str">
        <f>$A1528&amp;"-"&amp;$C1528&amp;"-"&amp;TEXT(COUNTIFS($A$2:$A1528,$A1528,$C$2:$C1528,$C1528),"000")</f>
        <v>F3-CEOBS-009</v>
      </c>
      <c r="E1528" s="7" t="s">
        <v>1561</v>
      </c>
      <c r="F1528" s="7" t="s">
        <v>1552</v>
      </c>
      <c r="G1528" s="7" t="s">
        <v>4</v>
      </c>
    </row>
    <row r="1529" spans="1:7">
      <c r="A1529" s="7" t="s">
        <v>1006</v>
      </c>
      <c r="B1529" s="7" t="s">
        <v>41</v>
      </c>
      <c r="C1529" s="7" t="str">
        <f>VLOOKUP(B1529,Indice!$B$1:$C$22,2,0)</f>
        <v>CEOBS</v>
      </c>
      <c r="D1529" s="7" t="str">
        <f>$A1529&amp;"-"&amp;$C1529&amp;"-"&amp;TEXT(COUNTIFS($A$2:$A1529,$A1529,$C$2:$C1529,$C1529),"000")</f>
        <v>F3-CEOBS-010</v>
      </c>
      <c r="E1529" s="7" t="s">
        <v>1562</v>
      </c>
      <c r="F1529" s="7" t="s">
        <v>1552</v>
      </c>
      <c r="G1529" s="7" t="s">
        <v>4</v>
      </c>
    </row>
    <row r="1530" spans="1:7">
      <c r="A1530" s="7" t="s">
        <v>1006</v>
      </c>
      <c r="B1530" s="7" t="s">
        <v>41</v>
      </c>
      <c r="C1530" s="7" t="str">
        <f>VLOOKUP(B1530,Indice!$B$1:$C$22,2,0)</f>
        <v>CEOBS</v>
      </c>
      <c r="D1530" s="7" t="str">
        <f>$A1530&amp;"-"&amp;$C1530&amp;"-"&amp;TEXT(COUNTIFS($A$2:$A1530,$A1530,$C$2:$C1530,$C1530),"000")</f>
        <v>F3-CEOBS-011</v>
      </c>
      <c r="E1530" s="7" t="s">
        <v>1563</v>
      </c>
      <c r="F1530" s="7" t="s">
        <v>1552</v>
      </c>
      <c r="G1530" s="7" t="s">
        <v>4</v>
      </c>
    </row>
    <row r="1531" spans="1:7">
      <c r="A1531" s="7" t="s">
        <v>1006</v>
      </c>
      <c r="B1531" s="7" t="s">
        <v>41</v>
      </c>
      <c r="C1531" s="7" t="str">
        <f>VLOOKUP(B1531,Indice!$B$1:$C$22,2,0)</f>
        <v>CEOBS</v>
      </c>
      <c r="D1531" s="7" t="str">
        <f>$A1531&amp;"-"&amp;$C1531&amp;"-"&amp;TEXT(COUNTIFS($A$2:$A1531,$A1531,$C$2:$C1531,$C1531),"000")</f>
        <v>F3-CEOBS-012</v>
      </c>
      <c r="E1531" s="7" t="s">
        <v>1564</v>
      </c>
      <c r="F1531" s="7" t="s">
        <v>1552</v>
      </c>
      <c r="G1531" s="7" t="s">
        <v>4</v>
      </c>
    </row>
    <row r="1532" spans="1:7">
      <c r="A1532" s="7" t="s">
        <v>1006</v>
      </c>
      <c r="B1532" s="7" t="s">
        <v>41</v>
      </c>
      <c r="C1532" s="7" t="str">
        <f>VLOOKUP(B1532,Indice!$B$1:$C$22,2,0)</f>
        <v>CEOBS</v>
      </c>
      <c r="D1532" s="7" t="str">
        <f>$A1532&amp;"-"&amp;$C1532&amp;"-"&amp;TEXT(COUNTIFS($A$2:$A1532,$A1532,$C$2:$C1532,$C1532),"000")</f>
        <v>F3-CEOBS-013</v>
      </c>
      <c r="E1532" s="7" t="s">
        <v>1565</v>
      </c>
      <c r="F1532" s="7" t="s">
        <v>1552</v>
      </c>
      <c r="G1532" s="7" t="s">
        <v>4</v>
      </c>
    </row>
    <row r="1533" spans="1:7">
      <c r="A1533" s="7" t="s">
        <v>1006</v>
      </c>
      <c r="B1533" s="7" t="s">
        <v>41</v>
      </c>
      <c r="C1533" s="7" t="str">
        <f>VLOOKUP(B1533,Indice!$B$1:$C$22,2,0)</f>
        <v>CEOBS</v>
      </c>
      <c r="D1533" s="7" t="str">
        <f>$A1533&amp;"-"&amp;$C1533&amp;"-"&amp;TEXT(COUNTIFS($A$2:$A1533,$A1533,$C$2:$C1533,$C1533),"000")</f>
        <v>F3-CEOBS-014</v>
      </c>
      <c r="E1533" s="7" t="s">
        <v>1566</v>
      </c>
      <c r="F1533" s="7" t="s">
        <v>1552</v>
      </c>
      <c r="G1533" s="7" t="s">
        <v>4</v>
      </c>
    </row>
    <row r="1534" spans="1:7">
      <c r="A1534" s="7" t="s">
        <v>1006</v>
      </c>
      <c r="B1534" s="7" t="s">
        <v>41</v>
      </c>
      <c r="C1534" s="7" t="str">
        <f>VLOOKUP(B1534,Indice!$B$1:$C$22,2,0)</f>
        <v>CEOBS</v>
      </c>
      <c r="D1534" s="7" t="str">
        <f>$A1534&amp;"-"&amp;$C1534&amp;"-"&amp;TEXT(COUNTIFS($A$2:$A1534,$A1534,$C$2:$C1534,$C1534),"000")</f>
        <v>F3-CEOBS-015</v>
      </c>
      <c r="E1534" s="7" t="s">
        <v>1567</v>
      </c>
      <c r="F1534" s="7" t="s">
        <v>1552</v>
      </c>
      <c r="G1534" s="7" t="s">
        <v>4</v>
      </c>
    </row>
    <row r="1535" spans="1:7">
      <c r="A1535" s="7" t="s">
        <v>1006</v>
      </c>
      <c r="B1535" s="7" t="s">
        <v>41</v>
      </c>
      <c r="C1535" s="7" t="str">
        <f>VLOOKUP(B1535,Indice!$B$1:$C$22,2,0)</f>
        <v>CEOBS</v>
      </c>
      <c r="D1535" s="7" t="str">
        <f>$A1535&amp;"-"&amp;$C1535&amp;"-"&amp;TEXT(COUNTIFS($A$2:$A1535,$A1535,$C$2:$C1535,$C1535),"000")</f>
        <v>F3-CEOBS-016</v>
      </c>
      <c r="E1535" s="7" t="s">
        <v>1568</v>
      </c>
      <c r="F1535" s="7" t="s">
        <v>1552</v>
      </c>
      <c r="G1535" s="7" t="s">
        <v>4</v>
      </c>
    </row>
    <row r="1536" spans="1:7">
      <c r="A1536" s="7" t="s">
        <v>1006</v>
      </c>
      <c r="B1536" s="7" t="s">
        <v>41</v>
      </c>
      <c r="C1536" s="7" t="str">
        <f>VLOOKUP(B1536,Indice!$B$1:$C$22,2,0)</f>
        <v>CEOBS</v>
      </c>
      <c r="D1536" s="7" t="str">
        <f>$A1536&amp;"-"&amp;$C1536&amp;"-"&amp;TEXT(COUNTIFS($A$2:$A1536,$A1536,$C$2:$C1536,$C1536),"000")</f>
        <v>F3-CEOBS-017</v>
      </c>
      <c r="E1536" s="7" t="s">
        <v>1569</v>
      </c>
      <c r="F1536" s="7" t="s">
        <v>1552</v>
      </c>
      <c r="G1536" s="7" t="s">
        <v>4</v>
      </c>
    </row>
    <row r="1537" spans="1:7">
      <c r="A1537" s="7" t="s">
        <v>1006</v>
      </c>
      <c r="B1537" s="7" t="s">
        <v>41</v>
      </c>
      <c r="C1537" s="7" t="str">
        <f>VLOOKUP(B1537,Indice!$B$1:$C$22,2,0)</f>
        <v>CEOBS</v>
      </c>
      <c r="D1537" s="7" t="str">
        <f>$A1537&amp;"-"&amp;$C1537&amp;"-"&amp;TEXT(COUNTIFS($A$2:$A1537,$A1537,$C$2:$C1537,$C1537),"000")</f>
        <v>F3-CEOBS-018</v>
      </c>
      <c r="E1537" s="7" t="s">
        <v>1570</v>
      </c>
      <c r="F1537" s="7" t="s">
        <v>1555</v>
      </c>
      <c r="G1537" s="7" t="s">
        <v>3</v>
      </c>
    </row>
    <row r="1538" spans="1:7">
      <c r="A1538" s="7" t="s">
        <v>1006</v>
      </c>
      <c r="B1538" s="7" t="s">
        <v>41</v>
      </c>
      <c r="C1538" s="7" t="str">
        <f>VLOOKUP(B1538,Indice!$B$1:$C$22,2,0)</f>
        <v>CEOBS</v>
      </c>
      <c r="D1538" s="7" t="str">
        <f>$A1538&amp;"-"&amp;$C1538&amp;"-"&amp;TEXT(COUNTIFS($A$2:$A1538,$A1538,$C$2:$C1538,$C1538),"000")</f>
        <v>F3-CEOBS-019</v>
      </c>
      <c r="E1538" s="7" t="s">
        <v>1571</v>
      </c>
      <c r="F1538" s="7" t="s">
        <v>1552</v>
      </c>
      <c r="G1538" s="7" t="s">
        <v>4</v>
      </c>
    </row>
    <row r="1539" spans="1:7">
      <c r="A1539" s="7" t="s">
        <v>1006</v>
      </c>
      <c r="B1539" s="7" t="s">
        <v>41</v>
      </c>
      <c r="C1539" s="7" t="str">
        <f>VLOOKUP(B1539,Indice!$B$1:$C$22,2,0)</f>
        <v>CEOBS</v>
      </c>
      <c r="D1539" s="7" t="str">
        <f>$A1539&amp;"-"&amp;$C1539&amp;"-"&amp;TEXT(COUNTIFS($A$2:$A1539,$A1539,$C$2:$C1539,$C1539),"000")</f>
        <v>F3-CEOBS-020</v>
      </c>
      <c r="E1539" s="7" t="s">
        <v>1572</v>
      </c>
      <c r="F1539" s="7" t="s">
        <v>1552</v>
      </c>
      <c r="G1539" s="7" t="s">
        <v>4</v>
      </c>
    </row>
    <row r="1540" spans="1:7">
      <c r="A1540" s="7" t="s">
        <v>1006</v>
      </c>
      <c r="B1540" s="7" t="s">
        <v>41</v>
      </c>
      <c r="C1540" s="7" t="str">
        <f>VLOOKUP(B1540,Indice!$B$1:$C$22,2,0)</f>
        <v>CEOBS</v>
      </c>
      <c r="D1540" s="7" t="str">
        <f>$A1540&amp;"-"&amp;$C1540&amp;"-"&amp;TEXT(COUNTIFS($A$2:$A1540,$A1540,$C$2:$C1540,$C1540),"000")</f>
        <v>F3-CEOBS-021</v>
      </c>
      <c r="E1540" s="7" t="s">
        <v>1573</v>
      </c>
      <c r="F1540" s="7" t="s">
        <v>1552</v>
      </c>
      <c r="G1540" s="7" t="s">
        <v>4</v>
      </c>
    </row>
    <row r="1541" spans="1:7">
      <c r="A1541" s="7" t="s">
        <v>1006</v>
      </c>
      <c r="B1541" s="7" t="s">
        <v>41</v>
      </c>
      <c r="C1541" s="7" t="str">
        <f>VLOOKUP(B1541,Indice!$B$1:$C$22,2,0)</f>
        <v>CEOBS</v>
      </c>
      <c r="D1541" s="7" t="str">
        <f>$A1541&amp;"-"&amp;$C1541&amp;"-"&amp;TEXT(COUNTIFS($A$2:$A1541,$A1541,$C$2:$C1541,$C1541),"000")</f>
        <v>F3-CEOBS-022</v>
      </c>
      <c r="E1541" s="7" t="s">
        <v>1574</v>
      </c>
      <c r="F1541" s="7" t="s">
        <v>1575</v>
      </c>
      <c r="G1541" s="7" t="s">
        <v>3</v>
      </c>
    </row>
    <row r="1542" spans="1:7">
      <c r="A1542" s="7" t="s">
        <v>1006</v>
      </c>
      <c r="B1542" s="7" t="s">
        <v>41</v>
      </c>
      <c r="C1542" s="7" t="str">
        <f>VLOOKUP(B1542,Indice!$B$1:$C$22,2,0)</f>
        <v>CEOBS</v>
      </c>
      <c r="D1542" s="7" t="str">
        <f>$A1542&amp;"-"&amp;$C1542&amp;"-"&amp;TEXT(COUNTIFS($A$2:$A1542,$A1542,$C$2:$C1542,$C1542),"000")</f>
        <v>F3-CEOBS-023</v>
      </c>
      <c r="E1542" s="7" t="s">
        <v>1576</v>
      </c>
      <c r="F1542" s="7" t="s">
        <v>1575</v>
      </c>
      <c r="G1542" s="7" t="s">
        <v>3</v>
      </c>
    </row>
    <row r="1543" spans="1:7">
      <c r="A1543" s="7" t="s">
        <v>1006</v>
      </c>
      <c r="B1543" s="7" t="s">
        <v>41</v>
      </c>
      <c r="C1543" s="7" t="str">
        <f>VLOOKUP(B1543,Indice!$B$1:$C$22,2,0)</f>
        <v>CEOBS</v>
      </c>
      <c r="D1543" s="7" t="str">
        <f>$A1543&amp;"-"&amp;$C1543&amp;"-"&amp;TEXT(COUNTIFS($A$2:$A1543,$A1543,$C$2:$C1543,$C1543),"000")</f>
        <v>F3-CEOBS-024</v>
      </c>
      <c r="E1543" s="7" t="s">
        <v>1577</v>
      </c>
      <c r="F1543" s="7" t="s">
        <v>1575</v>
      </c>
      <c r="G1543" s="7" t="s">
        <v>3</v>
      </c>
    </row>
    <row r="1544" spans="1:7">
      <c r="A1544" s="7" t="s">
        <v>1006</v>
      </c>
      <c r="B1544" s="7" t="s">
        <v>41</v>
      </c>
      <c r="C1544" s="7" t="str">
        <f>VLOOKUP(B1544,Indice!$B$1:$C$22,2,0)</f>
        <v>CEOBS</v>
      </c>
      <c r="D1544" s="7" t="str">
        <f>$A1544&amp;"-"&amp;$C1544&amp;"-"&amp;TEXT(COUNTIFS($A$2:$A1544,$A1544,$C$2:$C1544,$C1544),"000")</f>
        <v>F3-CEOBS-025</v>
      </c>
      <c r="E1544" s="7" t="s">
        <v>1578</v>
      </c>
      <c r="F1544" s="7" t="s">
        <v>1579</v>
      </c>
      <c r="G1544" s="7" t="s">
        <v>4</v>
      </c>
    </row>
    <row r="1545" spans="1:7">
      <c r="A1545" s="7" t="s">
        <v>1006</v>
      </c>
      <c r="B1545" s="7" t="s">
        <v>41</v>
      </c>
      <c r="C1545" s="7" t="str">
        <f>VLOOKUP(B1545,Indice!$B$1:$C$22,2,0)</f>
        <v>CEOBS</v>
      </c>
      <c r="D1545" s="7" t="str">
        <f>$A1545&amp;"-"&amp;$C1545&amp;"-"&amp;TEXT(COUNTIFS($A$2:$A1545,$A1545,$C$2:$C1545,$C1545),"000")</f>
        <v>F3-CEOBS-026</v>
      </c>
      <c r="E1545" s="7" t="s">
        <v>1580</v>
      </c>
      <c r="F1545" s="7" t="s">
        <v>1555</v>
      </c>
      <c r="G1545" s="7" t="s">
        <v>3</v>
      </c>
    </row>
    <row r="1546" spans="1:7">
      <c r="A1546" s="7" t="s">
        <v>1006</v>
      </c>
      <c r="B1546" s="7" t="s">
        <v>41</v>
      </c>
      <c r="C1546" s="7" t="str">
        <f>VLOOKUP(B1546,Indice!$B$1:$C$22,2,0)</f>
        <v>CEOBS</v>
      </c>
      <c r="D1546" s="7" t="str">
        <f>$A1546&amp;"-"&amp;$C1546&amp;"-"&amp;TEXT(COUNTIFS($A$2:$A1546,$A1546,$C$2:$C1546,$C1546),"000")</f>
        <v>F3-CEOBS-027</v>
      </c>
      <c r="E1546" s="7" t="s">
        <v>1581</v>
      </c>
      <c r="F1546" s="7" t="s">
        <v>1575</v>
      </c>
      <c r="G1546" s="7" t="s">
        <v>3</v>
      </c>
    </row>
    <row r="1547" spans="1:7">
      <c r="A1547" s="7" t="s">
        <v>1006</v>
      </c>
      <c r="B1547" s="7" t="s">
        <v>41</v>
      </c>
      <c r="C1547" s="7" t="str">
        <f>VLOOKUP(B1547,Indice!$B$1:$C$22,2,0)</f>
        <v>CEOBS</v>
      </c>
      <c r="D1547" s="7" t="str">
        <f>$A1547&amp;"-"&amp;$C1547&amp;"-"&amp;TEXT(COUNTIFS($A$2:$A1547,$A1547,$C$2:$C1547,$C1547),"000")</f>
        <v>F3-CEOBS-028</v>
      </c>
      <c r="E1547" s="7" t="s">
        <v>1582</v>
      </c>
      <c r="F1547" s="7" t="s">
        <v>1555</v>
      </c>
      <c r="G1547" s="7" t="s">
        <v>3</v>
      </c>
    </row>
    <row r="1548" spans="1:7">
      <c r="A1548" s="7" t="s">
        <v>1006</v>
      </c>
      <c r="B1548" s="7" t="s">
        <v>41</v>
      </c>
      <c r="C1548" s="7" t="str">
        <f>VLOOKUP(B1548,Indice!$B$1:$C$22,2,0)</f>
        <v>CEOBS</v>
      </c>
      <c r="D1548" s="7" t="str">
        <f>$A1548&amp;"-"&amp;$C1548&amp;"-"&amp;TEXT(COUNTIFS($A$2:$A1548,$A1548,$C$2:$C1548,$C1548),"000")</f>
        <v>F3-CEOBS-029</v>
      </c>
      <c r="E1548" s="7" t="s">
        <v>1583</v>
      </c>
      <c r="F1548" s="7" t="s">
        <v>1555</v>
      </c>
      <c r="G1548" s="7" t="s">
        <v>3</v>
      </c>
    </row>
    <row r="1549" spans="1:7">
      <c r="A1549" s="7" t="s">
        <v>1006</v>
      </c>
      <c r="B1549" s="7" t="s">
        <v>41</v>
      </c>
      <c r="C1549" s="7" t="str">
        <f>VLOOKUP(B1549,Indice!$B$1:$C$22,2,0)</f>
        <v>CEOBS</v>
      </c>
      <c r="D1549" s="7" t="str">
        <f>$A1549&amp;"-"&amp;$C1549&amp;"-"&amp;TEXT(COUNTIFS($A$2:$A1549,$A1549,$C$2:$C1549,$C1549),"000")</f>
        <v>F3-CEOBS-030</v>
      </c>
      <c r="E1549" s="7" t="s">
        <v>1584</v>
      </c>
      <c r="F1549" s="7" t="s">
        <v>1575</v>
      </c>
      <c r="G1549" s="7" t="s">
        <v>3</v>
      </c>
    </row>
    <row r="1550" spans="1:7">
      <c r="A1550" s="7" t="s">
        <v>1006</v>
      </c>
      <c r="B1550" s="7" t="s">
        <v>41</v>
      </c>
      <c r="C1550" s="7" t="str">
        <f>VLOOKUP(B1550,Indice!$B$1:$C$22,2,0)</f>
        <v>CEOBS</v>
      </c>
      <c r="D1550" s="7" t="str">
        <f>$A1550&amp;"-"&amp;$C1550&amp;"-"&amp;TEXT(COUNTIFS($A$2:$A1550,$A1550,$C$2:$C1550,$C1550),"000")</f>
        <v>F3-CEOBS-031</v>
      </c>
      <c r="E1550" s="7" t="s">
        <v>1585</v>
      </c>
      <c r="F1550" s="7" t="s">
        <v>1555</v>
      </c>
      <c r="G1550" s="7" t="s">
        <v>3</v>
      </c>
    </row>
    <row r="1551" spans="1:7">
      <c r="A1551" s="7" t="s">
        <v>1006</v>
      </c>
      <c r="B1551" s="7" t="s">
        <v>41</v>
      </c>
      <c r="C1551" s="7" t="str">
        <f>VLOOKUP(B1551,Indice!$B$1:$C$22,2,0)</f>
        <v>CEOBS</v>
      </c>
      <c r="D1551" s="7" t="str">
        <f>$A1551&amp;"-"&amp;$C1551&amp;"-"&amp;TEXT(COUNTIFS($A$2:$A1551,$A1551,$C$2:$C1551,$C1551),"000")</f>
        <v>F3-CEOBS-032</v>
      </c>
      <c r="E1551" s="7" t="s">
        <v>1586</v>
      </c>
      <c r="F1551" s="7" t="s">
        <v>1555</v>
      </c>
      <c r="G1551" s="7" t="s">
        <v>3</v>
      </c>
    </row>
    <row r="1552" spans="1:7">
      <c r="A1552" s="7" t="s">
        <v>1006</v>
      </c>
      <c r="B1552" s="7" t="s">
        <v>41</v>
      </c>
      <c r="C1552" s="7" t="str">
        <f>VLOOKUP(B1552,Indice!$B$1:$C$22,2,0)</f>
        <v>CEOBS</v>
      </c>
      <c r="D1552" s="7" t="str">
        <f>$A1552&amp;"-"&amp;$C1552&amp;"-"&amp;TEXT(COUNTIFS($A$2:$A1552,$A1552,$C$2:$C1552,$C1552),"000")</f>
        <v>F3-CEOBS-033</v>
      </c>
      <c r="E1552" s="7" t="s">
        <v>1587</v>
      </c>
      <c r="F1552" s="7" t="s">
        <v>1579</v>
      </c>
      <c r="G1552" s="7" t="s">
        <v>5</v>
      </c>
    </row>
    <row r="1553" spans="1:7">
      <c r="A1553" s="7" t="s">
        <v>1006</v>
      </c>
      <c r="B1553" s="7" t="s">
        <v>41</v>
      </c>
      <c r="C1553" s="7" t="str">
        <f>VLOOKUP(B1553,Indice!$B$1:$C$22,2,0)</f>
        <v>CEOBS</v>
      </c>
      <c r="D1553" s="7" t="str">
        <f>$A1553&amp;"-"&amp;$C1553&amp;"-"&amp;TEXT(COUNTIFS($A$2:$A1553,$A1553,$C$2:$C1553,$C1553),"000")</f>
        <v>F3-CEOBS-034</v>
      </c>
      <c r="E1553" s="7" t="s">
        <v>1588</v>
      </c>
      <c r="F1553" s="7" t="s">
        <v>1575</v>
      </c>
      <c r="G1553" s="7" t="s">
        <v>3</v>
      </c>
    </row>
    <row r="1554" spans="1:7">
      <c r="A1554" s="7" t="s">
        <v>1006</v>
      </c>
      <c r="B1554" s="7" t="s">
        <v>41</v>
      </c>
      <c r="C1554" s="7" t="str">
        <f>VLOOKUP(B1554,Indice!$B$1:$C$22,2,0)</f>
        <v>CEOBS</v>
      </c>
      <c r="D1554" s="7" t="str">
        <f>$A1554&amp;"-"&amp;$C1554&amp;"-"&amp;TEXT(COUNTIFS($A$2:$A1554,$A1554,$C$2:$C1554,$C1554),"000")</f>
        <v>F3-CEOBS-035</v>
      </c>
      <c r="E1554" s="7" t="s">
        <v>1589</v>
      </c>
      <c r="F1554" s="7" t="s">
        <v>1575</v>
      </c>
      <c r="G1554" s="7" t="s">
        <v>3</v>
      </c>
    </row>
    <row r="1555" spans="1:7">
      <c r="A1555" s="7" t="s">
        <v>1006</v>
      </c>
      <c r="B1555" s="7" t="s">
        <v>41</v>
      </c>
      <c r="C1555" s="7" t="str">
        <f>VLOOKUP(B1555,Indice!$B$1:$C$22,2,0)</f>
        <v>CEOBS</v>
      </c>
      <c r="D1555" s="7" t="str">
        <f>$A1555&amp;"-"&amp;$C1555&amp;"-"&amp;TEXT(COUNTIFS($A$2:$A1555,$A1555,$C$2:$C1555,$C1555),"000")</f>
        <v>F3-CEOBS-036</v>
      </c>
      <c r="E1555" s="7" t="s">
        <v>1590</v>
      </c>
      <c r="F1555" s="7" t="s">
        <v>1555</v>
      </c>
      <c r="G1555" s="7" t="s">
        <v>3</v>
      </c>
    </row>
    <row r="1556" spans="1:7">
      <c r="A1556" s="7" t="s">
        <v>1006</v>
      </c>
      <c r="B1556" s="7" t="s">
        <v>41</v>
      </c>
      <c r="C1556" s="7" t="str">
        <f>VLOOKUP(B1556,Indice!$B$1:$C$22,2,0)</f>
        <v>CEOBS</v>
      </c>
      <c r="D1556" s="7" t="str">
        <f>$A1556&amp;"-"&amp;$C1556&amp;"-"&amp;TEXT(COUNTIFS($A$2:$A1556,$A1556,$C$2:$C1556,$C1556),"000")</f>
        <v>F3-CEOBS-037</v>
      </c>
      <c r="E1556" s="7" t="s">
        <v>1591</v>
      </c>
      <c r="F1556" s="7" t="s">
        <v>1592</v>
      </c>
      <c r="G1556" s="7" t="s">
        <v>3</v>
      </c>
    </row>
    <row r="1557" spans="1:7">
      <c r="A1557" s="7" t="s">
        <v>1006</v>
      </c>
      <c r="B1557" s="7" t="s">
        <v>41</v>
      </c>
      <c r="C1557" s="7" t="str">
        <f>VLOOKUP(B1557,Indice!$B$1:$C$22,2,0)</f>
        <v>CEOBS</v>
      </c>
      <c r="D1557" s="7" t="str">
        <f>$A1557&amp;"-"&amp;$C1557&amp;"-"&amp;TEXT(COUNTIFS($A$2:$A1557,$A1557,$C$2:$C1557,$C1557),"000")</f>
        <v>F3-CEOBS-038</v>
      </c>
      <c r="E1557" s="7" t="s">
        <v>1593</v>
      </c>
      <c r="F1557" s="7" t="s">
        <v>1575</v>
      </c>
      <c r="G1557" s="7" t="s">
        <v>3</v>
      </c>
    </row>
    <row r="1558" spans="1:7">
      <c r="A1558" s="7" t="s">
        <v>1006</v>
      </c>
      <c r="B1558" s="7" t="s">
        <v>42</v>
      </c>
      <c r="C1558" s="7" t="str">
        <f>VLOOKUP(B1558,Indice!$B$1:$C$22,2,0)</f>
        <v>MAPPOEA</v>
      </c>
      <c r="D1558" s="7" t="str">
        <f>$A1558&amp;"-"&amp;$C1558&amp;"-"&amp;TEXT(COUNTIFS($A$2:$A1558,$A1558,$C$2:$C1558,$C1558),"000")</f>
        <v>F3-MAPPOEA-001</v>
      </c>
      <c r="E1558" s="7" t="s">
        <v>1594</v>
      </c>
      <c r="F1558" s="7" t="s">
        <v>1595</v>
      </c>
      <c r="G1558" s="7" t="s">
        <v>3</v>
      </c>
    </row>
    <row r="1559" spans="1:7">
      <c r="A1559" s="7" t="s">
        <v>1006</v>
      </c>
      <c r="B1559" s="7" t="s">
        <v>42</v>
      </c>
      <c r="C1559" s="7" t="str">
        <f>VLOOKUP(B1559,Indice!$B$1:$C$22,2,0)</f>
        <v>MAPPOEA</v>
      </c>
      <c r="D1559" s="7" t="str">
        <f>$A1559&amp;"-"&amp;$C1559&amp;"-"&amp;TEXT(COUNTIFS($A$2:$A1559,$A1559,$C$2:$C1559,$C1559),"000")</f>
        <v>F3-MAPPOEA-002</v>
      </c>
      <c r="E1559" s="7" t="s">
        <v>1596</v>
      </c>
      <c r="F1559" s="7" t="s">
        <v>1595</v>
      </c>
      <c r="G1559" s="7" t="s">
        <v>3</v>
      </c>
    </row>
    <row r="1560" spans="1:7">
      <c r="A1560" s="7" t="s">
        <v>1006</v>
      </c>
      <c r="B1560" s="7" t="s">
        <v>42</v>
      </c>
      <c r="C1560" s="7" t="str">
        <f>VLOOKUP(B1560,Indice!$B$1:$C$22,2,0)</f>
        <v>MAPPOEA</v>
      </c>
      <c r="D1560" s="7" t="str">
        <f>$A1560&amp;"-"&amp;$C1560&amp;"-"&amp;TEXT(COUNTIFS($A$2:$A1560,$A1560,$C$2:$C1560,$C1560),"000")</f>
        <v>F3-MAPPOEA-003</v>
      </c>
      <c r="E1560" s="7" t="s">
        <v>1597</v>
      </c>
      <c r="F1560" s="7" t="s">
        <v>1595</v>
      </c>
      <c r="G1560" s="7" t="s">
        <v>3</v>
      </c>
    </row>
    <row r="1561" spans="1:7">
      <c r="A1561" s="7" t="s">
        <v>1006</v>
      </c>
      <c r="B1561" s="7" t="s">
        <v>42</v>
      </c>
      <c r="C1561" s="7" t="str">
        <f>VLOOKUP(B1561,Indice!$B$1:$C$22,2,0)</f>
        <v>MAPPOEA</v>
      </c>
      <c r="D1561" s="7" t="str">
        <f>$A1561&amp;"-"&amp;$C1561&amp;"-"&amp;TEXT(COUNTIFS($A$2:$A1561,$A1561,$C$2:$C1561,$C1561),"000")</f>
        <v>F3-MAPPOEA-004</v>
      </c>
      <c r="E1561" s="7" t="s">
        <v>1598</v>
      </c>
      <c r="F1561" s="7" t="s">
        <v>1599</v>
      </c>
      <c r="G1561" s="7" t="s">
        <v>3</v>
      </c>
    </row>
    <row r="1562" spans="1:7">
      <c r="A1562" s="7" t="s">
        <v>1006</v>
      </c>
      <c r="B1562" s="7" t="s">
        <v>42</v>
      </c>
      <c r="C1562" s="7" t="str">
        <f>VLOOKUP(B1562,Indice!$B$1:$C$22,2,0)</f>
        <v>MAPPOEA</v>
      </c>
      <c r="D1562" s="7" t="str">
        <f>$A1562&amp;"-"&amp;$C1562&amp;"-"&amp;TEXT(COUNTIFS($A$2:$A1562,$A1562,$C$2:$C1562,$C1562),"000")</f>
        <v>F3-MAPPOEA-005</v>
      </c>
      <c r="E1562" s="7" t="s">
        <v>1600</v>
      </c>
      <c r="F1562" s="7" t="s">
        <v>1601</v>
      </c>
      <c r="G1562" s="7" t="s">
        <v>3</v>
      </c>
    </row>
    <row r="1563" spans="1:7">
      <c r="A1563" s="7" t="s">
        <v>1006</v>
      </c>
      <c r="B1563" s="7" t="s">
        <v>42</v>
      </c>
      <c r="C1563" s="7" t="str">
        <f>VLOOKUP(B1563,Indice!$B$1:$C$22,2,0)</f>
        <v>MAPPOEA</v>
      </c>
      <c r="D1563" s="7" t="str">
        <f>$A1563&amp;"-"&amp;$C1563&amp;"-"&amp;TEXT(COUNTIFS($A$2:$A1563,$A1563,$C$2:$C1563,$C1563),"000")</f>
        <v>F3-MAPPOEA-006</v>
      </c>
      <c r="E1563" s="7" t="s">
        <v>1602</v>
      </c>
      <c r="F1563" s="7" t="s">
        <v>1601</v>
      </c>
      <c r="G1563" s="7" t="s">
        <v>3</v>
      </c>
    </row>
    <row r="1564" spans="1:7">
      <c r="A1564" s="7" t="s">
        <v>1006</v>
      </c>
      <c r="B1564" s="7" t="s">
        <v>42</v>
      </c>
      <c r="C1564" s="7" t="str">
        <f>VLOOKUP(B1564,Indice!$B$1:$C$22,2,0)</f>
        <v>MAPPOEA</v>
      </c>
      <c r="D1564" s="7" t="str">
        <f>$A1564&amp;"-"&amp;$C1564&amp;"-"&amp;TEXT(COUNTIFS($A$2:$A1564,$A1564,$C$2:$C1564,$C1564),"000")</f>
        <v>F3-MAPPOEA-007</v>
      </c>
      <c r="E1564" s="7" t="s">
        <v>1603</v>
      </c>
      <c r="F1564" s="7" t="s">
        <v>1604</v>
      </c>
      <c r="G1564" s="7" t="s">
        <v>3</v>
      </c>
    </row>
    <row r="1565" spans="1:7">
      <c r="A1565" s="7" t="s">
        <v>1006</v>
      </c>
      <c r="B1565" s="7" t="s">
        <v>42</v>
      </c>
      <c r="C1565" s="7" t="str">
        <f>VLOOKUP(B1565,Indice!$B$1:$C$22,2,0)</f>
        <v>MAPPOEA</v>
      </c>
      <c r="D1565" s="7" t="str">
        <f>$A1565&amp;"-"&amp;$C1565&amp;"-"&amp;TEXT(COUNTIFS($A$2:$A1565,$A1565,$C$2:$C1565,$C1565),"000")</f>
        <v>F3-MAPPOEA-008</v>
      </c>
      <c r="E1565" s="7" t="s">
        <v>1605</v>
      </c>
      <c r="F1565" s="7" t="s">
        <v>1606</v>
      </c>
      <c r="G1565" s="7" t="s">
        <v>3</v>
      </c>
    </row>
    <row r="1566" spans="1:7">
      <c r="A1566" s="7" t="s">
        <v>1006</v>
      </c>
      <c r="B1566" s="7" t="s">
        <v>42</v>
      </c>
      <c r="C1566" s="7" t="str">
        <f>VLOOKUP(B1566,Indice!$B$1:$C$22,2,0)</f>
        <v>MAPPOEA</v>
      </c>
      <c r="D1566" s="7" t="str">
        <f>$A1566&amp;"-"&amp;$C1566&amp;"-"&amp;TEXT(COUNTIFS($A$2:$A1566,$A1566,$C$2:$C1566,$C1566),"000")</f>
        <v>F3-MAPPOEA-009</v>
      </c>
      <c r="E1566" s="7" t="s">
        <v>1607</v>
      </c>
      <c r="F1566" s="7" t="s">
        <v>1606</v>
      </c>
      <c r="G1566" s="7" t="s">
        <v>3</v>
      </c>
    </row>
    <row r="1567" spans="1:7">
      <c r="A1567" s="7" t="s">
        <v>1006</v>
      </c>
      <c r="B1567" s="7" t="s">
        <v>42</v>
      </c>
      <c r="C1567" s="7" t="str">
        <f>VLOOKUP(B1567,Indice!$B$1:$C$22,2,0)</f>
        <v>MAPPOEA</v>
      </c>
      <c r="D1567" s="7" t="str">
        <f>$A1567&amp;"-"&amp;$C1567&amp;"-"&amp;TEXT(COUNTIFS($A$2:$A1567,$A1567,$C$2:$C1567,$C1567),"000")</f>
        <v>F3-MAPPOEA-010</v>
      </c>
      <c r="E1567" s="7" t="s">
        <v>1608</v>
      </c>
      <c r="F1567" s="7" t="s">
        <v>1609</v>
      </c>
      <c r="G1567" s="7" t="s">
        <v>3</v>
      </c>
    </row>
    <row r="1568" spans="1:7">
      <c r="A1568" s="7" t="s">
        <v>1006</v>
      </c>
      <c r="B1568" s="7" t="s">
        <v>42</v>
      </c>
      <c r="C1568" s="7" t="str">
        <f>VLOOKUP(B1568,Indice!$B$1:$C$22,2,0)</f>
        <v>MAPPOEA</v>
      </c>
      <c r="D1568" s="7" t="str">
        <f>$A1568&amp;"-"&amp;$C1568&amp;"-"&amp;TEXT(COUNTIFS($A$2:$A1568,$A1568,$C$2:$C1568,$C1568),"000")</f>
        <v>F3-MAPPOEA-011</v>
      </c>
      <c r="E1568" s="7" t="s">
        <v>1610</v>
      </c>
      <c r="F1568" s="7" t="s">
        <v>1611</v>
      </c>
      <c r="G1568" s="7" t="s">
        <v>3</v>
      </c>
    </row>
    <row r="1569" spans="1:7">
      <c r="A1569" s="7" t="s">
        <v>1006</v>
      </c>
      <c r="B1569" s="7" t="s">
        <v>42</v>
      </c>
      <c r="C1569" s="7" t="str">
        <f>VLOOKUP(B1569,Indice!$B$1:$C$22,2,0)</f>
        <v>MAPPOEA</v>
      </c>
      <c r="D1569" s="7" t="str">
        <f>$A1569&amp;"-"&amp;$C1569&amp;"-"&amp;TEXT(COUNTIFS($A$2:$A1569,$A1569,$C$2:$C1569,$C1569),"000")</f>
        <v>F3-MAPPOEA-012</v>
      </c>
      <c r="E1569" s="7" t="s">
        <v>1612</v>
      </c>
      <c r="F1569" s="7" t="s">
        <v>1613</v>
      </c>
      <c r="G1569" s="7" t="s">
        <v>3</v>
      </c>
    </row>
    <row r="1570" spans="1:7">
      <c r="A1570" s="7" t="s">
        <v>1006</v>
      </c>
      <c r="B1570" s="7" t="s">
        <v>42</v>
      </c>
      <c r="C1570" s="7" t="str">
        <f>VLOOKUP(B1570,Indice!$B$1:$C$22,2,0)</f>
        <v>MAPPOEA</v>
      </c>
      <c r="D1570" s="7" t="str">
        <f>$A1570&amp;"-"&amp;$C1570&amp;"-"&amp;TEXT(COUNTIFS($A$2:$A1570,$A1570,$C$2:$C1570,$C1570),"000")</f>
        <v>F3-MAPPOEA-013</v>
      </c>
      <c r="E1570" s="7" t="s">
        <v>1614</v>
      </c>
      <c r="F1570" s="7" t="s">
        <v>1615</v>
      </c>
      <c r="G1570" s="7" t="s">
        <v>3</v>
      </c>
    </row>
    <row r="1571" spans="1:7">
      <c r="A1571" s="7" t="s">
        <v>1006</v>
      </c>
      <c r="B1571" s="7" t="s">
        <v>42</v>
      </c>
      <c r="C1571" s="7" t="str">
        <f>VLOOKUP(B1571,Indice!$B$1:$C$22,2,0)</f>
        <v>MAPPOEA</v>
      </c>
      <c r="D1571" s="7" t="str">
        <f>$A1571&amp;"-"&amp;$C1571&amp;"-"&amp;TEXT(COUNTIFS($A$2:$A1571,$A1571,$C$2:$C1571,$C1571),"000")</f>
        <v>F3-MAPPOEA-014</v>
      </c>
      <c r="E1571" s="7" t="s">
        <v>1616</v>
      </c>
      <c r="F1571" s="7" t="s">
        <v>1615</v>
      </c>
      <c r="G1571" s="7" t="s">
        <v>3</v>
      </c>
    </row>
    <row r="1572" spans="1:7">
      <c r="A1572" s="7" t="s">
        <v>1006</v>
      </c>
      <c r="B1572" s="7" t="s">
        <v>42</v>
      </c>
      <c r="C1572" s="7" t="str">
        <f>VLOOKUP(B1572,Indice!$B$1:$C$22,2,0)</f>
        <v>MAPPOEA</v>
      </c>
      <c r="D1572" s="7" t="str">
        <f>$A1572&amp;"-"&amp;$C1572&amp;"-"&amp;TEXT(COUNTIFS($A$2:$A1572,$A1572,$C$2:$C1572,$C1572),"000")</f>
        <v>F3-MAPPOEA-015</v>
      </c>
      <c r="E1572" s="7" t="s">
        <v>1617</v>
      </c>
      <c r="F1572" s="7" t="s">
        <v>1613</v>
      </c>
      <c r="G1572" s="7" t="s">
        <v>3</v>
      </c>
    </row>
    <row r="1573" spans="1:7">
      <c r="A1573" s="7" t="s">
        <v>1006</v>
      </c>
      <c r="B1573" s="7" t="s">
        <v>42</v>
      </c>
      <c r="C1573" s="7" t="str">
        <f>VLOOKUP(B1573,Indice!$B$1:$C$22,2,0)</f>
        <v>MAPPOEA</v>
      </c>
      <c r="D1573" s="7" t="str">
        <f>$A1573&amp;"-"&amp;$C1573&amp;"-"&amp;TEXT(COUNTIFS($A$2:$A1573,$A1573,$C$2:$C1573,$C1573),"000")</f>
        <v>F3-MAPPOEA-016</v>
      </c>
      <c r="E1573" s="7" t="s">
        <v>1618</v>
      </c>
      <c r="F1573" s="7" t="s">
        <v>1615</v>
      </c>
      <c r="G1573" s="7" t="s">
        <v>3</v>
      </c>
    </row>
    <row r="1574" spans="1:7">
      <c r="A1574" s="7" t="s">
        <v>1006</v>
      </c>
      <c r="B1574" s="7" t="s">
        <v>42</v>
      </c>
      <c r="C1574" s="7" t="str">
        <f>VLOOKUP(B1574,Indice!$B$1:$C$22,2,0)</f>
        <v>MAPPOEA</v>
      </c>
      <c r="D1574" s="7" t="str">
        <f>$A1574&amp;"-"&amp;$C1574&amp;"-"&amp;TEXT(COUNTIFS($A$2:$A1574,$A1574,$C$2:$C1574,$C1574),"000")</f>
        <v>F3-MAPPOEA-017</v>
      </c>
      <c r="E1574" s="7" t="s">
        <v>1619</v>
      </c>
      <c r="F1574" s="7" t="s">
        <v>1615</v>
      </c>
      <c r="G1574" s="7" t="s">
        <v>3</v>
      </c>
    </row>
    <row r="1575" spans="1:7">
      <c r="A1575" s="7" t="s">
        <v>1006</v>
      </c>
      <c r="B1575" s="7" t="s">
        <v>42</v>
      </c>
      <c r="C1575" s="7" t="str">
        <f>VLOOKUP(B1575,Indice!$B$1:$C$22,2,0)</f>
        <v>MAPPOEA</v>
      </c>
      <c r="D1575" s="7" t="str">
        <f>$A1575&amp;"-"&amp;$C1575&amp;"-"&amp;TEXT(COUNTIFS($A$2:$A1575,$A1575,$C$2:$C1575,$C1575),"000")</f>
        <v>F3-MAPPOEA-018</v>
      </c>
      <c r="E1575" s="7" t="s">
        <v>1620</v>
      </c>
      <c r="F1575" s="7" t="s">
        <v>1621</v>
      </c>
      <c r="G1575" s="7" t="s">
        <v>3</v>
      </c>
    </row>
    <row r="1576" spans="1:7">
      <c r="A1576" s="7" t="s">
        <v>1006</v>
      </c>
      <c r="B1576" s="7" t="s">
        <v>42</v>
      </c>
      <c r="C1576" s="7" t="str">
        <f>VLOOKUP(B1576,Indice!$B$1:$C$22,2,0)</f>
        <v>MAPPOEA</v>
      </c>
      <c r="D1576" s="7" t="str">
        <f>$A1576&amp;"-"&amp;$C1576&amp;"-"&amp;TEXT(COUNTIFS($A$2:$A1576,$A1576,$C$2:$C1576,$C1576),"000")</f>
        <v>F3-MAPPOEA-019</v>
      </c>
      <c r="E1576" s="7" t="s">
        <v>1622</v>
      </c>
      <c r="F1576" s="7" t="s">
        <v>1623</v>
      </c>
      <c r="G1576" s="7" t="s">
        <v>3</v>
      </c>
    </row>
    <row r="1577" spans="1:7">
      <c r="A1577" s="7" t="s">
        <v>1006</v>
      </c>
      <c r="B1577" s="7" t="s">
        <v>42</v>
      </c>
      <c r="C1577" s="7" t="str">
        <f>VLOOKUP(B1577,Indice!$B$1:$C$22,2,0)</f>
        <v>MAPPOEA</v>
      </c>
      <c r="D1577" s="7" t="str">
        <f>$A1577&amp;"-"&amp;$C1577&amp;"-"&amp;TEXT(COUNTIFS($A$2:$A1577,$A1577,$C$2:$C1577,$C1577),"000")</f>
        <v>F3-MAPPOEA-020</v>
      </c>
      <c r="E1577" s="7" t="s">
        <v>1624</v>
      </c>
      <c r="F1577" s="7" t="s">
        <v>1625</v>
      </c>
      <c r="G1577" s="7" t="s">
        <v>3</v>
      </c>
    </row>
    <row r="1578" spans="1:7">
      <c r="A1578" s="7" t="s">
        <v>1006</v>
      </c>
      <c r="B1578" s="7" t="s">
        <v>42</v>
      </c>
      <c r="C1578" s="7" t="str">
        <f>VLOOKUP(B1578,Indice!$B$1:$C$22,2,0)</f>
        <v>MAPPOEA</v>
      </c>
      <c r="D1578" s="7" t="str">
        <f>$A1578&amp;"-"&amp;$C1578&amp;"-"&amp;TEXT(COUNTIFS($A$2:$A1578,$A1578,$C$2:$C1578,$C1578),"000")</f>
        <v>F3-MAPPOEA-021</v>
      </c>
      <c r="E1578" s="7" t="s">
        <v>1626</v>
      </c>
      <c r="F1578" s="7" t="s">
        <v>1627</v>
      </c>
      <c r="G1578" s="7" t="s">
        <v>3</v>
      </c>
    </row>
    <row r="1579" spans="1:7">
      <c r="A1579" s="7" t="s">
        <v>1006</v>
      </c>
      <c r="B1579" s="7" t="s">
        <v>42</v>
      </c>
      <c r="C1579" s="7" t="str">
        <f>VLOOKUP(B1579,Indice!$B$1:$C$22,2,0)</f>
        <v>MAPPOEA</v>
      </c>
      <c r="D1579" s="7" t="str">
        <f>$A1579&amp;"-"&amp;$C1579&amp;"-"&amp;TEXT(COUNTIFS($A$2:$A1579,$A1579,$C$2:$C1579,$C1579),"000")</f>
        <v>F3-MAPPOEA-022</v>
      </c>
      <c r="E1579" s="7" t="s">
        <v>1628</v>
      </c>
      <c r="F1579" s="7" t="s">
        <v>1627</v>
      </c>
      <c r="G1579" s="7" t="s">
        <v>3</v>
      </c>
    </row>
    <row r="1580" spans="1:7">
      <c r="A1580" s="7" t="s">
        <v>1006</v>
      </c>
      <c r="B1580" s="7" t="s">
        <v>42</v>
      </c>
      <c r="C1580" s="7" t="str">
        <f>VLOOKUP(B1580,Indice!$B$1:$C$22,2,0)</f>
        <v>MAPPOEA</v>
      </c>
      <c r="D1580" s="7" t="str">
        <f>$A1580&amp;"-"&amp;$C1580&amp;"-"&amp;TEXT(COUNTIFS($A$2:$A1580,$A1580,$C$2:$C1580,$C1580),"000")</f>
        <v>F3-MAPPOEA-023</v>
      </c>
      <c r="E1580" s="7" t="s">
        <v>1629</v>
      </c>
      <c r="F1580" s="7" t="s">
        <v>1621</v>
      </c>
      <c r="G1580" s="7" t="s">
        <v>3</v>
      </c>
    </row>
    <row r="1581" spans="1:7">
      <c r="A1581" s="7" t="s">
        <v>1006</v>
      </c>
      <c r="B1581" s="7" t="s">
        <v>42</v>
      </c>
      <c r="C1581" s="7" t="str">
        <f>VLOOKUP(B1581,Indice!$B$1:$C$22,2,0)</f>
        <v>MAPPOEA</v>
      </c>
      <c r="D1581" s="7" t="str">
        <f>$A1581&amp;"-"&amp;$C1581&amp;"-"&amp;TEXT(COUNTIFS($A$2:$A1581,$A1581,$C$2:$C1581,$C1581),"000")</f>
        <v>F3-MAPPOEA-024</v>
      </c>
      <c r="E1581" s="7" t="s">
        <v>1630</v>
      </c>
      <c r="F1581" s="7" t="s">
        <v>1631</v>
      </c>
      <c r="G1581" s="7" t="s">
        <v>3</v>
      </c>
    </row>
    <row r="1582" spans="1:7">
      <c r="A1582" s="7" t="s">
        <v>1006</v>
      </c>
      <c r="B1582" s="7" t="s">
        <v>42</v>
      </c>
      <c r="C1582" s="7" t="str">
        <f>VLOOKUP(B1582,Indice!$B$1:$C$22,2,0)</f>
        <v>MAPPOEA</v>
      </c>
      <c r="D1582" s="7" t="str">
        <f>$A1582&amp;"-"&amp;$C1582&amp;"-"&amp;TEXT(COUNTIFS($A$2:$A1582,$A1582,$C$2:$C1582,$C1582),"000")</f>
        <v>F3-MAPPOEA-025</v>
      </c>
      <c r="E1582" s="7" t="s">
        <v>1632</v>
      </c>
      <c r="F1582" s="7" t="s">
        <v>1633</v>
      </c>
      <c r="G1582" s="7" t="s">
        <v>5</v>
      </c>
    </row>
    <row r="1583" spans="1:7">
      <c r="A1583" s="7" t="s">
        <v>1006</v>
      </c>
      <c r="B1583" s="7" t="s">
        <v>42</v>
      </c>
      <c r="C1583" s="7" t="str">
        <f>VLOOKUP(B1583,Indice!$B$1:$C$22,2,0)</f>
        <v>MAPPOEA</v>
      </c>
      <c r="D1583" s="7" t="str">
        <f>$A1583&amp;"-"&amp;$C1583&amp;"-"&amp;TEXT(COUNTIFS($A$2:$A1583,$A1583,$C$2:$C1583,$C1583),"000")</f>
        <v>F3-MAPPOEA-026</v>
      </c>
      <c r="E1583" s="7" t="s">
        <v>1634</v>
      </c>
      <c r="F1583" s="7" t="s">
        <v>1633</v>
      </c>
      <c r="G1583" s="7" t="s">
        <v>4</v>
      </c>
    </row>
    <row r="1584" spans="1:7">
      <c r="A1584" s="7" t="s">
        <v>1006</v>
      </c>
      <c r="B1584" s="7" t="s">
        <v>42</v>
      </c>
      <c r="C1584" s="7" t="str">
        <f>VLOOKUP(B1584,Indice!$B$1:$C$22,2,0)</f>
        <v>MAPPOEA</v>
      </c>
      <c r="D1584" s="7" t="str">
        <f>$A1584&amp;"-"&amp;$C1584&amp;"-"&amp;TEXT(COUNTIFS($A$2:$A1584,$A1584,$C$2:$C1584,$C1584),"000")</f>
        <v>F3-MAPPOEA-027</v>
      </c>
      <c r="E1584" s="7" t="s">
        <v>1635</v>
      </c>
      <c r="F1584" s="7" t="s">
        <v>1621</v>
      </c>
      <c r="G1584" s="7" t="s">
        <v>3</v>
      </c>
    </row>
    <row r="1585" spans="1:7">
      <c r="A1585" s="7" t="s">
        <v>1006</v>
      </c>
      <c r="B1585" s="7" t="s">
        <v>42</v>
      </c>
      <c r="C1585" s="7" t="str">
        <f>VLOOKUP(B1585,Indice!$B$1:$C$22,2,0)</f>
        <v>MAPPOEA</v>
      </c>
      <c r="D1585" s="7" t="str">
        <f>$A1585&amp;"-"&amp;$C1585&amp;"-"&amp;TEXT(COUNTIFS($A$2:$A1585,$A1585,$C$2:$C1585,$C1585),"000")</f>
        <v>F3-MAPPOEA-028</v>
      </c>
      <c r="E1585" s="7" t="s">
        <v>1636</v>
      </c>
      <c r="F1585" s="7" t="s">
        <v>1637</v>
      </c>
      <c r="G1585" s="7" t="s">
        <v>3</v>
      </c>
    </row>
    <row r="1586" spans="1:7">
      <c r="A1586" s="7" t="s">
        <v>1006</v>
      </c>
      <c r="B1586" s="7" t="s">
        <v>42</v>
      </c>
      <c r="C1586" s="7" t="str">
        <f>VLOOKUP(B1586,Indice!$B$1:$C$22,2,0)</f>
        <v>MAPPOEA</v>
      </c>
      <c r="D1586" s="7" t="str">
        <f>$A1586&amp;"-"&amp;$C1586&amp;"-"&amp;TEXT(COUNTIFS($A$2:$A1586,$A1586,$C$2:$C1586,$C1586),"000")</f>
        <v>F3-MAPPOEA-029</v>
      </c>
      <c r="E1586" s="7" t="s">
        <v>1638</v>
      </c>
      <c r="F1586" s="7" t="s">
        <v>1631</v>
      </c>
      <c r="G1586" s="7" t="s">
        <v>3</v>
      </c>
    </row>
    <row r="1587" spans="1:7">
      <c r="A1587" s="7" t="s">
        <v>1006</v>
      </c>
      <c r="B1587" s="7" t="s">
        <v>42</v>
      </c>
      <c r="C1587" s="7" t="str">
        <f>VLOOKUP(B1587,Indice!$B$1:$C$22,2,0)</f>
        <v>MAPPOEA</v>
      </c>
      <c r="D1587" s="7" t="str">
        <f>$A1587&amp;"-"&amp;$C1587&amp;"-"&amp;TEXT(COUNTIFS($A$2:$A1587,$A1587,$C$2:$C1587,$C1587),"000")</f>
        <v>F3-MAPPOEA-030</v>
      </c>
      <c r="E1587" s="7" t="s">
        <v>1639</v>
      </c>
      <c r="F1587" s="7" t="s">
        <v>1640</v>
      </c>
      <c r="G1587" s="7" t="s">
        <v>3</v>
      </c>
    </row>
    <row r="1588" spans="1:7">
      <c r="A1588" s="7" t="s">
        <v>1006</v>
      </c>
      <c r="B1588" s="7" t="s">
        <v>42</v>
      </c>
      <c r="C1588" s="7" t="str">
        <f>VLOOKUP(B1588,Indice!$B$1:$C$22,2,0)</f>
        <v>MAPPOEA</v>
      </c>
      <c r="D1588" s="7" t="str">
        <f>$A1588&amp;"-"&amp;$C1588&amp;"-"&amp;TEXT(COUNTIFS($A$2:$A1588,$A1588,$C$2:$C1588,$C1588),"000")</f>
        <v>F3-MAPPOEA-031</v>
      </c>
      <c r="E1588" s="7" t="s">
        <v>1641</v>
      </c>
      <c r="F1588" s="7" t="s">
        <v>1640</v>
      </c>
      <c r="G1588" s="7" t="s">
        <v>3</v>
      </c>
    </row>
    <row r="1589" spans="1:7">
      <c r="A1589" s="7" t="s">
        <v>1006</v>
      </c>
      <c r="B1589" s="7" t="s">
        <v>42</v>
      </c>
      <c r="C1589" s="7" t="str">
        <f>VLOOKUP(B1589,Indice!$B$1:$C$22,2,0)</f>
        <v>MAPPOEA</v>
      </c>
      <c r="D1589" s="7" t="str">
        <f>$A1589&amp;"-"&amp;$C1589&amp;"-"&amp;TEXT(COUNTIFS($A$2:$A1589,$A1589,$C$2:$C1589,$C1589),"000")</f>
        <v>F3-MAPPOEA-032</v>
      </c>
      <c r="E1589" s="7" t="s">
        <v>1642</v>
      </c>
      <c r="F1589" s="7" t="s">
        <v>1640</v>
      </c>
      <c r="G1589" s="7" t="s">
        <v>3</v>
      </c>
    </row>
    <row r="1590" spans="1:7">
      <c r="A1590" s="7" t="s">
        <v>1006</v>
      </c>
      <c r="B1590" s="7" t="s">
        <v>42</v>
      </c>
      <c r="C1590" s="7" t="str">
        <f>VLOOKUP(B1590,Indice!$B$1:$C$22,2,0)</f>
        <v>MAPPOEA</v>
      </c>
      <c r="D1590" s="7" t="str">
        <f>$A1590&amp;"-"&amp;$C1590&amp;"-"&amp;TEXT(COUNTIFS($A$2:$A1590,$A1590,$C$2:$C1590,$C1590),"000")</f>
        <v>F3-MAPPOEA-033</v>
      </c>
      <c r="E1590" s="7" t="s">
        <v>1643</v>
      </c>
      <c r="F1590" s="7" t="s">
        <v>1631</v>
      </c>
      <c r="G1590" s="7" t="s">
        <v>3</v>
      </c>
    </row>
    <row r="1591" spans="1:7">
      <c r="A1591" s="7" t="s">
        <v>1006</v>
      </c>
      <c r="B1591" s="7" t="s">
        <v>42</v>
      </c>
      <c r="C1591" s="7" t="str">
        <f>VLOOKUP(B1591,Indice!$B$1:$C$22,2,0)</f>
        <v>MAPPOEA</v>
      </c>
      <c r="D1591" s="7" t="str">
        <f>$A1591&amp;"-"&amp;$C1591&amp;"-"&amp;TEXT(COUNTIFS($A$2:$A1591,$A1591,$C$2:$C1591,$C1591),"000")</f>
        <v>F3-MAPPOEA-034</v>
      </c>
      <c r="E1591" s="7" t="s">
        <v>1644</v>
      </c>
      <c r="F1591" s="7" t="s">
        <v>1645</v>
      </c>
      <c r="G1591" s="7" t="s">
        <v>3</v>
      </c>
    </row>
    <row r="1592" spans="1:7">
      <c r="A1592" s="7" t="s">
        <v>1006</v>
      </c>
      <c r="B1592" s="7" t="s">
        <v>42</v>
      </c>
      <c r="C1592" s="7" t="str">
        <f>VLOOKUP(B1592,Indice!$B$1:$C$22,2,0)</f>
        <v>MAPPOEA</v>
      </c>
      <c r="D1592" s="7" t="str">
        <f>$A1592&amp;"-"&amp;$C1592&amp;"-"&amp;TEXT(COUNTIFS($A$2:$A1592,$A1592,$C$2:$C1592,$C1592),"000")</f>
        <v>F3-MAPPOEA-035</v>
      </c>
      <c r="E1592" s="7" t="s">
        <v>1646</v>
      </c>
      <c r="F1592" s="7" t="s">
        <v>1627</v>
      </c>
      <c r="G1592" s="7" t="s">
        <v>3</v>
      </c>
    </row>
    <row r="1593" spans="1:7">
      <c r="A1593" s="7" t="s">
        <v>1006</v>
      </c>
      <c r="B1593" s="7" t="s">
        <v>44</v>
      </c>
      <c r="C1593" s="7" t="str">
        <f>VLOOKUP(B1593,Indice!$B$1:$C$22,2,0)</f>
        <v>RESDAL</v>
      </c>
      <c r="D1593" s="7" t="str">
        <f>$A1593&amp;"-"&amp;$C1593&amp;"-"&amp;TEXT(COUNTIFS($A$2:$A1593,$A1593,$C$2:$C1593,$C1593),"000")</f>
        <v>F3-RESDAL-001</v>
      </c>
      <c r="E1593" s="7" t="s">
        <v>1647</v>
      </c>
      <c r="F1593" s="7" t="s">
        <v>1648</v>
      </c>
      <c r="G1593" s="7" t="s">
        <v>3</v>
      </c>
    </row>
    <row r="1594" spans="1:7">
      <c r="A1594" s="7" t="s">
        <v>1006</v>
      </c>
      <c r="B1594" s="7" t="s">
        <v>44</v>
      </c>
      <c r="C1594" s="7" t="str">
        <f>VLOOKUP(B1594,Indice!$B$1:$C$22,2,0)</f>
        <v>RESDAL</v>
      </c>
      <c r="D1594" s="7" t="str">
        <f>$A1594&amp;"-"&amp;$C1594&amp;"-"&amp;TEXT(COUNTIFS($A$2:$A1594,$A1594,$C$2:$C1594,$C1594),"000")</f>
        <v>F3-RESDAL-002</v>
      </c>
      <c r="E1594" s="7" t="s">
        <v>1649</v>
      </c>
      <c r="F1594" s="7" t="s">
        <v>1648</v>
      </c>
      <c r="G1594" s="7" t="s">
        <v>3</v>
      </c>
    </row>
    <row r="1595" spans="1:7">
      <c r="A1595" s="7" t="s">
        <v>1006</v>
      </c>
      <c r="B1595" s="7" t="s">
        <v>44</v>
      </c>
      <c r="C1595" s="7" t="str">
        <f>VLOOKUP(B1595,Indice!$B$1:$C$22,2,0)</f>
        <v>RESDAL</v>
      </c>
      <c r="D1595" s="7" t="str">
        <f>$A1595&amp;"-"&amp;$C1595&amp;"-"&amp;TEXT(COUNTIFS($A$2:$A1595,$A1595,$C$2:$C1595,$C1595),"000")</f>
        <v>F3-RESDAL-003</v>
      </c>
      <c r="E1595" s="7" t="s">
        <v>1650</v>
      </c>
      <c r="F1595" s="7" t="s">
        <v>1648</v>
      </c>
      <c r="G1595" s="7" t="s">
        <v>3</v>
      </c>
    </row>
    <row r="1596" spans="1:7">
      <c r="A1596" s="7" t="s">
        <v>1006</v>
      </c>
      <c r="B1596" s="7" t="s">
        <v>44</v>
      </c>
      <c r="C1596" s="7" t="str">
        <f>VLOOKUP(B1596,Indice!$B$1:$C$22,2,0)</f>
        <v>RESDAL</v>
      </c>
      <c r="D1596" s="7" t="str">
        <f>$A1596&amp;"-"&amp;$C1596&amp;"-"&amp;TEXT(COUNTIFS($A$2:$A1596,$A1596,$C$2:$C1596,$C1596),"000")</f>
        <v>F3-RESDAL-004</v>
      </c>
      <c r="E1596" s="7" t="s">
        <v>1651</v>
      </c>
      <c r="F1596" s="7" t="s">
        <v>1648</v>
      </c>
      <c r="G1596" s="7" t="s">
        <v>3</v>
      </c>
    </row>
    <row r="1597" spans="1:7">
      <c r="A1597" s="7" t="s">
        <v>1006</v>
      </c>
      <c r="B1597" s="7" t="s">
        <v>44</v>
      </c>
      <c r="C1597" s="7" t="str">
        <f>VLOOKUP(B1597,Indice!$B$1:$C$22,2,0)</f>
        <v>RESDAL</v>
      </c>
      <c r="D1597" s="7" t="str">
        <f>$A1597&amp;"-"&amp;$C1597&amp;"-"&amp;TEXT(COUNTIFS($A$2:$A1597,$A1597,$C$2:$C1597,$C1597),"000")</f>
        <v>F3-RESDAL-005</v>
      </c>
      <c r="E1597" s="7" t="s">
        <v>1652</v>
      </c>
      <c r="F1597" s="7" t="s">
        <v>1648</v>
      </c>
      <c r="G1597" s="7" t="s">
        <v>3</v>
      </c>
    </row>
    <row r="1598" spans="1:7">
      <c r="A1598" s="7" t="s">
        <v>1006</v>
      </c>
      <c r="B1598" s="7" t="s">
        <v>44</v>
      </c>
      <c r="C1598" s="7" t="str">
        <f>VLOOKUP(B1598,Indice!$B$1:$C$22,2,0)</f>
        <v>RESDAL</v>
      </c>
      <c r="D1598" s="7" t="str">
        <f>$A1598&amp;"-"&amp;$C1598&amp;"-"&amp;TEXT(COUNTIFS($A$2:$A1598,$A1598,$C$2:$C1598,$C1598),"000")</f>
        <v>F3-RESDAL-006</v>
      </c>
      <c r="E1598" s="7" t="s">
        <v>1653</v>
      </c>
      <c r="F1598" s="7" t="s">
        <v>1648</v>
      </c>
      <c r="G1598" s="7" t="s">
        <v>3</v>
      </c>
    </row>
    <row r="1599" spans="1:7">
      <c r="A1599" s="7" t="s">
        <v>1006</v>
      </c>
      <c r="B1599" s="7" t="s">
        <v>44</v>
      </c>
      <c r="C1599" s="7" t="str">
        <f>VLOOKUP(B1599,Indice!$B$1:$C$22,2,0)</f>
        <v>RESDAL</v>
      </c>
      <c r="D1599" s="7" t="str">
        <f>$A1599&amp;"-"&amp;$C1599&amp;"-"&amp;TEXT(COUNTIFS($A$2:$A1599,$A1599,$C$2:$C1599,$C1599),"000")</f>
        <v>F3-RESDAL-007</v>
      </c>
      <c r="E1599" s="7" t="s">
        <v>1654</v>
      </c>
      <c r="F1599" s="7" t="s">
        <v>1648</v>
      </c>
      <c r="G1599" s="7" t="s">
        <v>3</v>
      </c>
    </row>
    <row r="1600" spans="1:7">
      <c r="A1600" s="7" t="s">
        <v>1006</v>
      </c>
      <c r="B1600" s="7" t="s">
        <v>44</v>
      </c>
      <c r="C1600" s="7" t="str">
        <f>VLOOKUP(B1600,Indice!$B$1:$C$22,2,0)</f>
        <v>RESDAL</v>
      </c>
      <c r="D1600" s="7" t="str">
        <f>$A1600&amp;"-"&amp;$C1600&amp;"-"&amp;TEXT(COUNTIFS($A$2:$A1600,$A1600,$C$2:$C1600,$C1600),"000")</f>
        <v>F3-RESDAL-008</v>
      </c>
      <c r="E1600" s="7" t="s">
        <v>1655</v>
      </c>
      <c r="F1600" s="7" t="s">
        <v>1648</v>
      </c>
      <c r="G1600" s="7" t="s">
        <v>3</v>
      </c>
    </row>
    <row r="1601" spans="1:7">
      <c r="A1601" s="7" t="s">
        <v>1006</v>
      </c>
      <c r="B1601" s="7" t="s">
        <v>44</v>
      </c>
      <c r="C1601" s="7" t="str">
        <f>VLOOKUP(B1601,Indice!$B$1:$C$22,2,0)</f>
        <v>RESDAL</v>
      </c>
      <c r="D1601" s="7" t="str">
        <f>$A1601&amp;"-"&amp;$C1601&amp;"-"&amp;TEXT(COUNTIFS($A$2:$A1601,$A1601,$C$2:$C1601,$C1601),"000")</f>
        <v>F3-RESDAL-009</v>
      </c>
      <c r="E1601" s="7" t="s">
        <v>1656</v>
      </c>
      <c r="F1601" s="7" t="s">
        <v>1648</v>
      </c>
      <c r="G1601" s="7" t="s">
        <v>3</v>
      </c>
    </row>
    <row r="1602" spans="1:7">
      <c r="A1602" s="7" t="s">
        <v>1006</v>
      </c>
      <c r="B1602" s="7" t="s">
        <v>44</v>
      </c>
      <c r="C1602" s="7" t="str">
        <f>VLOOKUP(B1602,Indice!$B$1:$C$22,2,0)</f>
        <v>RESDAL</v>
      </c>
      <c r="D1602" s="7" t="str">
        <f>$A1602&amp;"-"&amp;$C1602&amp;"-"&amp;TEXT(COUNTIFS($A$2:$A1602,$A1602,$C$2:$C1602,$C1602),"000")</f>
        <v>F3-RESDAL-010</v>
      </c>
      <c r="E1602" s="7" t="s">
        <v>1657</v>
      </c>
      <c r="F1602" s="7" t="s">
        <v>1648</v>
      </c>
      <c r="G1602" s="7" t="s">
        <v>3</v>
      </c>
    </row>
    <row r="1603" spans="1:7">
      <c r="A1603" s="7" t="s">
        <v>1006</v>
      </c>
      <c r="B1603" s="7" t="s">
        <v>44</v>
      </c>
      <c r="C1603" s="7" t="str">
        <f>VLOOKUP(B1603,Indice!$B$1:$C$22,2,0)</f>
        <v>RESDAL</v>
      </c>
      <c r="D1603" s="7" t="str">
        <f>$A1603&amp;"-"&amp;$C1603&amp;"-"&amp;TEXT(COUNTIFS($A$2:$A1603,$A1603,$C$2:$C1603,$C1603),"000")</f>
        <v>F3-RESDAL-011</v>
      </c>
      <c r="E1603" s="7" t="s">
        <v>1658</v>
      </c>
      <c r="F1603" s="7" t="s">
        <v>1648</v>
      </c>
      <c r="G1603" s="7" t="s">
        <v>3</v>
      </c>
    </row>
    <row r="1604" spans="1:7">
      <c r="A1604" s="7" t="s">
        <v>1006</v>
      </c>
      <c r="B1604" s="7" t="s">
        <v>44</v>
      </c>
      <c r="C1604" s="7" t="str">
        <f>VLOOKUP(B1604,Indice!$B$1:$C$22,2,0)</f>
        <v>RESDAL</v>
      </c>
      <c r="D1604" s="7" t="str">
        <f>$A1604&amp;"-"&amp;$C1604&amp;"-"&amp;TEXT(COUNTIFS($A$2:$A1604,$A1604,$C$2:$C1604,$C1604),"000")</f>
        <v>F3-RESDAL-012</v>
      </c>
      <c r="E1604" s="7" t="s">
        <v>1659</v>
      </c>
      <c r="F1604" s="7" t="s">
        <v>1648</v>
      </c>
      <c r="G1604" s="7" t="s">
        <v>3</v>
      </c>
    </row>
    <row r="1605" spans="1:7">
      <c r="A1605" s="7" t="s">
        <v>1006</v>
      </c>
      <c r="B1605" s="7" t="s">
        <v>44</v>
      </c>
      <c r="C1605" s="7" t="str">
        <f>VLOOKUP(B1605,Indice!$B$1:$C$22,2,0)</f>
        <v>RESDAL</v>
      </c>
      <c r="D1605" s="7" t="str">
        <f>$A1605&amp;"-"&amp;$C1605&amp;"-"&amp;TEXT(COUNTIFS($A$2:$A1605,$A1605,$C$2:$C1605,$C1605),"000")</f>
        <v>F3-RESDAL-013</v>
      </c>
      <c r="E1605" s="7" t="s">
        <v>1660</v>
      </c>
      <c r="F1605" s="7" t="s">
        <v>1648</v>
      </c>
      <c r="G1605" s="7" t="s">
        <v>3</v>
      </c>
    </row>
    <row r="1606" spans="1:7">
      <c r="A1606" s="7" t="s">
        <v>1006</v>
      </c>
      <c r="B1606" s="7" t="s">
        <v>44</v>
      </c>
      <c r="C1606" s="7" t="str">
        <f>VLOOKUP(B1606,Indice!$B$1:$C$22,2,0)</f>
        <v>RESDAL</v>
      </c>
      <c r="D1606" s="7" t="str">
        <f>$A1606&amp;"-"&amp;$C1606&amp;"-"&amp;TEXT(COUNTIFS($A$2:$A1606,$A1606,$C$2:$C1606,$C1606),"000")</f>
        <v>F3-RESDAL-014</v>
      </c>
      <c r="E1606" s="7" t="s">
        <v>1661</v>
      </c>
      <c r="F1606" s="7" t="s">
        <v>1648</v>
      </c>
      <c r="G1606" s="7" t="s">
        <v>3</v>
      </c>
    </row>
    <row r="1607" spans="1:7">
      <c r="A1607" s="7" t="s">
        <v>1006</v>
      </c>
      <c r="B1607" s="7" t="s">
        <v>44</v>
      </c>
      <c r="C1607" s="7" t="str">
        <f>VLOOKUP(B1607,Indice!$B$1:$C$22,2,0)</f>
        <v>RESDAL</v>
      </c>
      <c r="D1607" s="7" t="str">
        <f>$A1607&amp;"-"&amp;$C1607&amp;"-"&amp;TEXT(COUNTIFS($A$2:$A1607,$A1607,$C$2:$C1607,$C1607),"000")</f>
        <v>F3-RESDAL-015</v>
      </c>
      <c r="E1607" s="7" t="s">
        <v>1662</v>
      </c>
      <c r="F1607" s="7" t="s">
        <v>1648</v>
      </c>
      <c r="G1607" s="7" t="s">
        <v>3</v>
      </c>
    </row>
    <row r="1608" spans="1:7">
      <c r="A1608" s="7" t="s">
        <v>1006</v>
      </c>
      <c r="B1608" s="7" t="s">
        <v>44</v>
      </c>
      <c r="C1608" s="7" t="str">
        <f>VLOOKUP(B1608,Indice!$B$1:$C$22,2,0)</f>
        <v>RESDAL</v>
      </c>
      <c r="D1608" s="7" t="str">
        <f>$A1608&amp;"-"&amp;$C1608&amp;"-"&amp;TEXT(COUNTIFS($A$2:$A1608,$A1608,$C$2:$C1608,$C1608),"000")</f>
        <v>F3-RESDAL-016</v>
      </c>
      <c r="E1608" s="7" t="s">
        <v>1663</v>
      </c>
      <c r="F1608" s="7" t="s">
        <v>1648</v>
      </c>
      <c r="G1608" s="7" t="s">
        <v>3</v>
      </c>
    </row>
    <row r="1609" spans="1:7">
      <c r="A1609" s="7" t="s">
        <v>1006</v>
      </c>
      <c r="B1609" s="7" t="s">
        <v>44</v>
      </c>
      <c r="C1609" s="7" t="str">
        <f>VLOOKUP(B1609,Indice!$B$1:$C$22,2,0)</f>
        <v>RESDAL</v>
      </c>
      <c r="D1609" s="7" t="str">
        <f>$A1609&amp;"-"&amp;$C1609&amp;"-"&amp;TEXT(COUNTIFS($A$2:$A1609,$A1609,$C$2:$C1609,$C1609),"000")</f>
        <v>F3-RESDAL-017</v>
      </c>
      <c r="E1609" s="7" t="s">
        <v>1664</v>
      </c>
      <c r="F1609" s="7" t="s">
        <v>1648</v>
      </c>
      <c r="G1609" s="7" t="s">
        <v>3</v>
      </c>
    </row>
    <row r="1610" spans="1:7">
      <c r="A1610" s="7" t="s">
        <v>1006</v>
      </c>
      <c r="B1610" s="7" t="s">
        <v>44</v>
      </c>
      <c r="C1610" s="7" t="str">
        <f>VLOOKUP(B1610,Indice!$B$1:$C$22,2,0)</f>
        <v>RESDAL</v>
      </c>
      <c r="D1610" s="7" t="str">
        <f>$A1610&amp;"-"&amp;$C1610&amp;"-"&amp;TEXT(COUNTIFS($A$2:$A1610,$A1610,$C$2:$C1610,$C1610),"000")</f>
        <v>F3-RESDAL-018</v>
      </c>
      <c r="E1610" s="7" t="s">
        <v>1665</v>
      </c>
      <c r="F1610" s="7" t="s">
        <v>1648</v>
      </c>
      <c r="G1610" s="7" t="s">
        <v>3</v>
      </c>
    </row>
    <row r="1611" spans="1:7">
      <c r="A1611" s="7" t="s">
        <v>1006</v>
      </c>
      <c r="B1611" s="7" t="s">
        <v>44</v>
      </c>
      <c r="C1611" s="7" t="str">
        <f>VLOOKUP(B1611,Indice!$B$1:$C$22,2,0)</f>
        <v>RESDAL</v>
      </c>
      <c r="D1611" s="7" t="str">
        <f>$A1611&amp;"-"&amp;$C1611&amp;"-"&amp;TEXT(COUNTIFS($A$2:$A1611,$A1611,$C$2:$C1611,$C1611),"000")</f>
        <v>F3-RESDAL-019</v>
      </c>
      <c r="E1611" s="7" t="s">
        <v>1666</v>
      </c>
      <c r="F1611" s="7" t="s">
        <v>1648</v>
      </c>
      <c r="G1611" s="7" t="s">
        <v>3</v>
      </c>
    </row>
    <row r="1612" spans="1:7">
      <c r="A1612" s="7" t="s">
        <v>1006</v>
      </c>
      <c r="B1612" s="7" t="s">
        <v>44</v>
      </c>
      <c r="C1612" s="7" t="str">
        <f>VLOOKUP(B1612,Indice!$B$1:$C$22,2,0)</f>
        <v>RESDAL</v>
      </c>
      <c r="D1612" s="7" t="str">
        <f>$A1612&amp;"-"&amp;$C1612&amp;"-"&amp;TEXT(COUNTIFS($A$2:$A1612,$A1612,$C$2:$C1612,$C1612),"000")</f>
        <v>F3-RESDAL-020</v>
      </c>
      <c r="E1612" s="7" t="s">
        <v>1667</v>
      </c>
      <c r="F1612" s="7" t="s">
        <v>1648</v>
      </c>
      <c r="G1612" s="7" t="s">
        <v>3</v>
      </c>
    </row>
    <row r="1613" spans="1:7">
      <c r="A1613" s="7" t="s">
        <v>1006</v>
      </c>
      <c r="B1613" s="7" t="s">
        <v>44</v>
      </c>
      <c r="C1613" s="7" t="str">
        <f>VLOOKUP(B1613,Indice!$B$1:$C$22,2,0)</f>
        <v>RESDAL</v>
      </c>
      <c r="D1613" s="7" t="str">
        <f>$A1613&amp;"-"&amp;$C1613&amp;"-"&amp;TEXT(COUNTIFS($A$2:$A1613,$A1613,$C$2:$C1613,$C1613),"000")</f>
        <v>F3-RESDAL-021</v>
      </c>
      <c r="E1613" s="7" t="s">
        <v>1668</v>
      </c>
      <c r="F1613" s="7" t="s">
        <v>1669</v>
      </c>
      <c r="G1613" s="7" t="s">
        <v>3</v>
      </c>
    </row>
    <row r="1614" spans="1:7">
      <c r="A1614" s="7" t="s">
        <v>1006</v>
      </c>
      <c r="B1614" s="7" t="s">
        <v>44</v>
      </c>
      <c r="C1614" s="7" t="str">
        <f>VLOOKUP(B1614,Indice!$B$1:$C$22,2,0)</f>
        <v>RESDAL</v>
      </c>
      <c r="D1614" s="7" t="str">
        <f>$A1614&amp;"-"&amp;$C1614&amp;"-"&amp;TEXT(COUNTIFS($A$2:$A1614,$A1614,$C$2:$C1614,$C1614),"000")</f>
        <v>F3-RESDAL-022</v>
      </c>
      <c r="E1614" s="7" t="s">
        <v>1670</v>
      </c>
      <c r="F1614" s="7" t="s">
        <v>1648</v>
      </c>
      <c r="G1614" s="7" t="s">
        <v>3</v>
      </c>
    </row>
    <row r="1615" spans="1:7">
      <c r="A1615" s="7" t="s">
        <v>1006</v>
      </c>
      <c r="B1615" s="7" t="s">
        <v>44</v>
      </c>
      <c r="C1615" s="7" t="str">
        <f>VLOOKUP(B1615,Indice!$B$1:$C$22,2,0)</f>
        <v>RESDAL</v>
      </c>
      <c r="D1615" s="7" t="str">
        <f>$A1615&amp;"-"&amp;$C1615&amp;"-"&amp;TEXT(COUNTIFS($A$2:$A1615,$A1615,$C$2:$C1615,$C1615),"000")</f>
        <v>F3-RESDAL-023</v>
      </c>
      <c r="E1615" s="7" t="s">
        <v>1671</v>
      </c>
      <c r="F1615" s="7" t="s">
        <v>1648</v>
      </c>
      <c r="G1615" s="7" t="s">
        <v>3</v>
      </c>
    </row>
    <row r="1616" spans="1:7">
      <c r="A1616" s="7" t="s">
        <v>1006</v>
      </c>
      <c r="B1616" s="7" t="s">
        <v>44</v>
      </c>
      <c r="C1616" s="7" t="str">
        <f>VLOOKUP(B1616,Indice!$B$1:$C$22,2,0)</f>
        <v>RESDAL</v>
      </c>
      <c r="D1616" s="7" t="str">
        <f>$A1616&amp;"-"&amp;$C1616&amp;"-"&amp;TEXT(COUNTIFS($A$2:$A1616,$A1616,$C$2:$C1616,$C1616),"000")</f>
        <v>F3-RESDAL-024</v>
      </c>
      <c r="E1616" s="7" t="s">
        <v>1672</v>
      </c>
      <c r="F1616" s="7" t="s">
        <v>1648</v>
      </c>
      <c r="G1616" s="7" t="s">
        <v>3</v>
      </c>
    </row>
    <row r="1617" spans="1:7">
      <c r="A1617" s="7" t="s">
        <v>1006</v>
      </c>
      <c r="B1617" s="7" t="s">
        <v>44</v>
      </c>
      <c r="C1617" s="7" t="str">
        <f>VLOOKUP(B1617,Indice!$B$1:$C$22,2,0)</f>
        <v>RESDAL</v>
      </c>
      <c r="D1617" s="7" t="str">
        <f>$A1617&amp;"-"&amp;$C1617&amp;"-"&amp;TEXT(COUNTIFS($A$2:$A1617,$A1617,$C$2:$C1617,$C1617),"000")</f>
        <v>F3-RESDAL-025</v>
      </c>
      <c r="E1617" s="7" t="s">
        <v>1673</v>
      </c>
      <c r="F1617" s="7" t="s">
        <v>1648</v>
      </c>
      <c r="G1617" s="7" t="s">
        <v>3</v>
      </c>
    </row>
    <row r="1618" spans="1:7">
      <c r="A1618" s="7" t="s">
        <v>1006</v>
      </c>
      <c r="B1618" s="7" t="s">
        <v>44</v>
      </c>
      <c r="C1618" s="7" t="str">
        <f>VLOOKUP(B1618,Indice!$B$1:$C$22,2,0)</f>
        <v>RESDAL</v>
      </c>
      <c r="D1618" s="7" t="str">
        <f>$A1618&amp;"-"&amp;$C1618&amp;"-"&amp;TEXT(COUNTIFS($A$2:$A1618,$A1618,$C$2:$C1618,$C1618),"000")</f>
        <v>F3-RESDAL-026</v>
      </c>
      <c r="E1618" s="7" t="s">
        <v>1674</v>
      </c>
      <c r="F1618" s="7" t="s">
        <v>1648</v>
      </c>
      <c r="G1618" s="7" t="s">
        <v>3</v>
      </c>
    </row>
    <row r="1619" spans="1:7">
      <c r="A1619" s="7" t="s">
        <v>1006</v>
      </c>
      <c r="B1619" s="7" t="s">
        <v>44</v>
      </c>
      <c r="C1619" s="7" t="str">
        <f>VLOOKUP(B1619,Indice!$B$1:$C$22,2,0)</f>
        <v>RESDAL</v>
      </c>
      <c r="D1619" s="7" t="str">
        <f>$A1619&amp;"-"&amp;$C1619&amp;"-"&amp;TEXT(COUNTIFS($A$2:$A1619,$A1619,$C$2:$C1619,$C1619),"000")</f>
        <v>F3-RESDAL-027</v>
      </c>
      <c r="E1619" s="7" t="s">
        <v>1675</v>
      </c>
      <c r="F1619" s="7" t="s">
        <v>1648</v>
      </c>
      <c r="G1619" s="7" t="s">
        <v>3</v>
      </c>
    </row>
    <row r="1620" spans="1:7">
      <c r="A1620" s="7" t="s">
        <v>1006</v>
      </c>
      <c r="B1620" s="7" t="s">
        <v>44</v>
      </c>
      <c r="C1620" s="7" t="str">
        <f>VLOOKUP(B1620,Indice!$B$1:$C$22,2,0)</f>
        <v>RESDAL</v>
      </c>
      <c r="D1620" s="7" t="str">
        <f>$A1620&amp;"-"&amp;$C1620&amp;"-"&amp;TEXT(COUNTIFS($A$2:$A1620,$A1620,$C$2:$C1620,$C1620),"000")</f>
        <v>F3-RESDAL-028</v>
      </c>
      <c r="E1620" s="7" t="s">
        <v>1676</v>
      </c>
      <c r="F1620" s="7" t="s">
        <v>1648</v>
      </c>
      <c r="G1620" s="7" t="s">
        <v>3</v>
      </c>
    </row>
    <row r="1621" spans="1:7">
      <c r="A1621" s="7" t="s">
        <v>1006</v>
      </c>
      <c r="B1621" s="7" t="s">
        <v>44</v>
      </c>
      <c r="C1621" s="7" t="str">
        <f>VLOOKUP(B1621,Indice!$B$1:$C$22,2,0)</f>
        <v>RESDAL</v>
      </c>
      <c r="D1621" s="7" t="str">
        <f>$A1621&amp;"-"&amp;$C1621&amp;"-"&amp;TEXT(COUNTIFS($A$2:$A1621,$A1621,$C$2:$C1621,$C1621),"000")</f>
        <v>F3-RESDAL-029</v>
      </c>
      <c r="E1621" s="7" t="s">
        <v>1677</v>
      </c>
      <c r="F1621" s="7" t="s">
        <v>1648</v>
      </c>
      <c r="G1621" s="7" t="s">
        <v>3</v>
      </c>
    </row>
    <row r="1622" spans="1:7">
      <c r="A1622" s="7" t="s">
        <v>1006</v>
      </c>
      <c r="B1622" s="7" t="s">
        <v>44</v>
      </c>
      <c r="C1622" s="7" t="str">
        <f>VLOOKUP(B1622,Indice!$B$1:$C$22,2,0)</f>
        <v>RESDAL</v>
      </c>
      <c r="D1622" s="7" t="str">
        <f>$A1622&amp;"-"&amp;$C1622&amp;"-"&amp;TEXT(COUNTIFS($A$2:$A1622,$A1622,$C$2:$C1622,$C1622),"000")</f>
        <v>F3-RESDAL-030</v>
      </c>
      <c r="E1622" s="7" t="s">
        <v>1678</v>
      </c>
      <c r="F1622" s="7" t="s">
        <v>1648</v>
      </c>
      <c r="G1622" s="7" t="s">
        <v>3</v>
      </c>
    </row>
    <row r="1623" spans="1:7">
      <c r="A1623" s="7" t="s">
        <v>1006</v>
      </c>
      <c r="B1623" s="7" t="s">
        <v>44</v>
      </c>
      <c r="C1623" s="7" t="str">
        <f>VLOOKUP(B1623,Indice!$B$1:$C$22,2,0)</f>
        <v>RESDAL</v>
      </c>
      <c r="D1623" s="7" t="str">
        <f>$A1623&amp;"-"&amp;$C1623&amp;"-"&amp;TEXT(COUNTIFS($A$2:$A1623,$A1623,$C$2:$C1623,$C1623),"000")</f>
        <v>F3-RESDAL-031</v>
      </c>
      <c r="E1623" s="7" t="s">
        <v>1679</v>
      </c>
      <c r="F1623" s="7" t="s">
        <v>1680</v>
      </c>
      <c r="G1623" s="7" t="s">
        <v>3</v>
      </c>
    </row>
    <row r="1624" spans="1:7">
      <c r="A1624" s="7" t="s">
        <v>1006</v>
      </c>
      <c r="B1624" s="7" t="s">
        <v>44</v>
      </c>
      <c r="C1624" s="7" t="str">
        <f>VLOOKUP(B1624,Indice!$B$1:$C$22,2,0)</f>
        <v>RESDAL</v>
      </c>
      <c r="D1624" s="7" t="str">
        <f>$A1624&amp;"-"&amp;$C1624&amp;"-"&amp;TEXT(COUNTIFS($A$2:$A1624,$A1624,$C$2:$C1624,$C1624),"000")</f>
        <v>F3-RESDAL-032</v>
      </c>
      <c r="E1624" s="7" t="s">
        <v>1681</v>
      </c>
      <c r="F1624" s="7" t="s">
        <v>1682</v>
      </c>
      <c r="G1624" s="7" t="s">
        <v>3</v>
      </c>
    </row>
    <row r="1625" spans="1:7">
      <c r="A1625" s="7" t="s">
        <v>1006</v>
      </c>
      <c r="B1625" s="7" t="s">
        <v>44</v>
      </c>
      <c r="C1625" s="7" t="str">
        <f>VLOOKUP(B1625,Indice!$B$1:$C$22,2,0)</f>
        <v>RESDAL</v>
      </c>
      <c r="D1625" s="7" t="str">
        <f>$A1625&amp;"-"&amp;$C1625&amp;"-"&amp;TEXT(COUNTIFS($A$2:$A1625,$A1625,$C$2:$C1625,$C1625),"000")</f>
        <v>F3-RESDAL-033</v>
      </c>
      <c r="E1625" s="7" t="s">
        <v>1683</v>
      </c>
      <c r="F1625" s="7" t="s">
        <v>1682</v>
      </c>
      <c r="G1625" s="7" t="s">
        <v>3</v>
      </c>
    </row>
    <row r="1626" spans="1:7">
      <c r="A1626" s="7" t="s">
        <v>1006</v>
      </c>
      <c r="B1626" s="7" t="s">
        <v>44</v>
      </c>
      <c r="C1626" s="7" t="str">
        <f>VLOOKUP(B1626,Indice!$B$1:$C$22,2,0)</f>
        <v>RESDAL</v>
      </c>
      <c r="D1626" s="7" t="str">
        <f>$A1626&amp;"-"&amp;$C1626&amp;"-"&amp;TEXT(COUNTIFS($A$2:$A1626,$A1626,$C$2:$C1626,$C1626),"000")</f>
        <v>F3-RESDAL-034</v>
      </c>
      <c r="E1626" s="7" t="s">
        <v>1684</v>
      </c>
      <c r="F1626" s="7" t="s">
        <v>1669</v>
      </c>
      <c r="G1626" s="7" t="s">
        <v>3</v>
      </c>
    </row>
    <row r="1627" spans="1:7">
      <c r="A1627" s="7" t="s">
        <v>1006</v>
      </c>
      <c r="B1627" s="7" t="s">
        <v>44</v>
      </c>
      <c r="C1627" s="7" t="str">
        <f>VLOOKUP(B1627,Indice!$B$1:$C$22,2,0)</f>
        <v>RESDAL</v>
      </c>
      <c r="D1627" s="7" t="str">
        <f>$A1627&amp;"-"&amp;$C1627&amp;"-"&amp;TEXT(COUNTIFS($A$2:$A1627,$A1627,$C$2:$C1627,$C1627),"000")</f>
        <v>F3-RESDAL-035</v>
      </c>
      <c r="E1627" s="7" t="s">
        <v>1685</v>
      </c>
      <c r="F1627" s="7" t="s">
        <v>1669</v>
      </c>
      <c r="G1627" s="7" t="s">
        <v>3</v>
      </c>
    </row>
    <row r="1628" spans="1:7">
      <c r="A1628" s="7" t="s">
        <v>1006</v>
      </c>
      <c r="B1628" s="7" t="s">
        <v>44</v>
      </c>
      <c r="C1628" s="7" t="str">
        <f>VLOOKUP(B1628,Indice!$B$1:$C$22,2,0)</f>
        <v>RESDAL</v>
      </c>
      <c r="D1628" s="7" t="str">
        <f>$A1628&amp;"-"&amp;$C1628&amp;"-"&amp;TEXT(COUNTIFS($A$2:$A1628,$A1628,$C$2:$C1628,$C1628),"000")</f>
        <v>F3-RESDAL-036</v>
      </c>
      <c r="E1628" s="7" t="s">
        <v>1686</v>
      </c>
      <c r="F1628" s="7" t="s">
        <v>1669</v>
      </c>
      <c r="G1628" s="7" t="s">
        <v>3</v>
      </c>
    </row>
    <row r="1629" spans="1:7">
      <c r="A1629" s="7" t="s">
        <v>1006</v>
      </c>
      <c r="B1629" s="7" t="s">
        <v>44</v>
      </c>
      <c r="C1629" s="7" t="str">
        <f>VLOOKUP(B1629,Indice!$B$1:$C$22,2,0)</f>
        <v>RESDAL</v>
      </c>
      <c r="D1629" s="7" t="str">
        <f>$A1629&amp;"-"&amp;$C1629&amp;"-"&amp;TEXT(COUNTIFS($A$2:$A1629,$A1629,$C$2:$C1629,$C1629),"000")</f>
        <v>F3-RESDAL-037</v>
      </c>
      <c r="E1629" s="7" t="s">
        <v>1687</v>
      </c>
      <c r="F1629" s="7" t="s">
        <v>1669</v>
      </c>
      <c r="G1629" s="7" t="s">
        <v>3</v>
      </c>
    </row>
    <row r="1630" spans="1:7">
      <c r="A1630" s="7" t="s">
        <v>1006</v>
      </c>
      <c r="B1630" s="7" t="s">
        <v>44</v>
      </c>
      <c r="C1630" s="7" t="str">
        <f>VLOOKUP(B1630,Indice!$B$1:$C$22,2,0)</f>
        <v>RESDAL</v>
      </c>
      <c r="D1630" s="7" t="str">
        <f>$A1630&amp;"-"&amp;$C1630&amp;"-"&amp;TEXT(COUNTIFS($A$2:$A1630,$A1630,$C$2:$C1630,$C1630),"000")</f>
        <v>F3-RESDAL-038</v>
      </c>
      <c r="E1630" s="7" t="s">
        <v>1688</v>
      </c>
      <c r="F1630" s="7" t="s">
        <v>1669</v>
      </c>
      <c r="G1630" s="7" t="s">
        <v>3</v>
      </c>
    </row>
    <row r="1631" spans="1:7">
      <c r="A1631" s="7" t="s">
        <v>1006</v>
      </c>
      <c r="B1631" s="7" t="s">
        <v>44</v>
      </c>
      <c r="C1631" s="7" t="str">
        <f>VLOOKUP(B1631,Indice!$B$1:$C$22,2,0)</f>
        <v>RESDAL</v>
      </c>
      <c r="D1631" s="7" t="str">
        <f>$A1631&amp;"-"&amp;$C1631&amp;"-"&amp;TEXT(COUNTIFS($A$2:$A1631,$A1631,$C$2:$C1631,$C1631),"000")</f>
        <v>F3-RESDAL-039</v>
      </c>
      <c r="E1631" s="7" t="s">
        <v>1689</v>
      </c>
      <c r="F1631" s="7" t="s">
        <v>1669</v>
      </c>
      <c r="G1631" s="7" t="s">
        <v>3</v>
      </c>
    </row>
    <row r="1632" spans="1:7">
      <c r="A1632" s="7" t="s">
        <v>1006</v>
      </c>
      <c r="B1632" s="7" t="s">
        <v>44</v>
      </c>
      <c r="C1632" s="7" t="str">
        <f>VLOOKUP(B1632,Indice!$B$1:$C$22,2,0)</f>
        <v>RESDAL</v>
      </c>
      <c r="D1632" s="7" t="str">
        <f>$A1632&amp;"-"&amp;$C1632&amp;"-"&amp;TEXT(COUNTIFS($A$2:$A1632,$A1632,$C$2:$C1632,$C1632),"000")</f>
        <v>F3-RESDAL-040</v>
      </c>
      <c r="E1632" s="7" t="s">
        <v>1690</v>
      </c>
      <c r="F1632" s="7" t="s">
        <v>1669</v>
      </c>
      <c r="G1632" s="7" t="s">
        <v>3</v>
      </c>
    </row>
    <row r="1633" spans="1:7">
      <c r="A1633" s="7" t="s">
        <v>1006</v>
      </c>
      <c r="B1633" s="7" t="s">
        <v>44</v>
      </c>
      <c r="C1633" s="7" t="str">
        <f>VLOOKUP(B1633,Indice!$B$1:$C$22,2,0)</f>
        <v>RESDAL</v>
      </c>
      <c r="D1633" s="7" t="str">
        <f>$A1633&amp;"-"&amp;$C1633&amp;"-"&amp;TEXT(COUNTIFS($A$2:$A1633,$A1633,$C$2:$C1633,$C1633),"000")</f>
        <v>F3-RESDAL-041</v>
      </c>
      <c r="E1633" s="7" t="s">
        <v>1691</v>
      </c>
      <c r="F1633" s="7" t="s">
        <v>1669</v>
      </c>
      <c r="G1633" s="7" t="s">
        <v>3</v>
      </c>
    </row>
    <row r="1634" spans="1:7">
      <c r="A1634" s="7" t="s">
        <v>1006</v>
      </c>
      <c r="B1634" s="7" t="s">
        <v>44</v>
      </c>
      <c r="C1634" s="7" t="str">
        <f>VLOOKUP(B1634,Indice!$B$1:$C$22,2,0)</f>
        <v>RESDAL</v>
      </c>
      <c r="D1634" s="7" t="str">
        <f>$A1634&amp;"-"&amp;$C1634&amp;"-"&amp;TEXT(COUNTIFS($A$2:$A1634,$A1634,$C$2:$C1634,$C1634),"000")</f>
        <v>F3-RESDAL-042</v>
      </c>
      <c r="E1634" s="7" t="s">
        <v>1692</v>
      </c>
      <c r="F1634" s="7" t="s">
        <v>1669</v>
      </c>
      <c r="G1634" s="7" t="s">
        <v>3</v>
      </c>
    </row>
    <row r="1635" spans="1:7">
      <c r="A1635" s="7" t="s">
        <v>1006</v>
      </c>
      <c r="B1635" s="7" t="s">
        <v>44</v>
      </c>
      <c r="C1635" s="7" t="str">
        <f>VLOOKUP(B1635,Indice!$B$1:$C$22,2,0)</f>
        <v>RESDAL</v>
      </c>
      <c r="D1635" s="7" t="str">
        <f>$A1635&amp;"-"&amp;$C1635&amp;"-"&amp;TEXT(COUNTIFS($A$2:$A1635,$A1635,$C$2:$C1635,$C1635),"000")</f>
        <v>F3-RESDAL-043</v>
      </c>
      <c r="E1635" s="7" t="s">
        <v>1693</v>
      </c>
      <c r="F1635" s="7" t="s">
        <v>1669</v>
      </c>
      <c r="G1635" s="7" t="s">
        <v>3</v>
      </c>
    </row>
    <row r="1636" spans="1:7">
      <c r="A1636" s="7" t="s">
        <v>1006</v>
      </c>
      <c r="B1636" s="7" t="s">
        <v>44</v>
      </c>
      <c r="C1636" s="7" t="str">
        <f>VLOOKUP(B1636,Indice!$B$1:$C$22,2,0)</f>
        <v>RESDAL</v>
      </c>
      <c r="D1636" s="7" t="str">
        <f>$A1636&amp;"-"&amp;$C1636&amp;"-"&amp;TEXT(COUNTIFS($A$2:$A1636,$A1636,$C$2:$C1636,$C1636),"000")</f>
        <v>F3-RESDAL-044</v>
      </c>
      <c r="E1636" s="7" t="s">
        <v>1694</v>
      </c>
      <c r="F1636" s="7" t="s">
        <v>1669</v>
      </c>
      <c r="G1636" s="7" t="s">
        <v>3</v>
      </c>
    </row>
    <row r="1637" spans="1:7">
      <c r="A1637" s="7" t="s">
        <v>1006</v>
      </c>
      <c r="B1637" s="7" t="s">
        <v>44</v>
      </c>
      <c r="C1637" s="7" t="str">
        <f>VLOOKUP(B1637,Indice!$B$1:$C$22,2,0)</f>
        <v>RESDAL</v>
      </c>
      <c r="D1637" s="7" t="str">
        <f>$A1637&amp;"-"&amp;$C1637&amp;"-"&amp;TEXT(COUNTIFS($A$2:$A1637,$A1637,$C$2:$C1637,$C1637),"000")</f>
        <v>F3-RESDAL-045</v>
      </c>
      <c r="E1637" s="7" t="s">
        <v>1695</v>
      </c>
      <c r="F1637" s="7" t="s">
        <v>1669</v>
      </c>
      <c r="G1637" s="7" t="s">
        <v>3</v>
      </c>
    </row>
    <row r="1638" spans="1:7">
      <c r="A1638" s="7" t="s">
        <v>1006</v>
      </c>
      <c r="B1638" s="7" t="s">
        <v>44</v>
      </c>
      <c r="C1638" s="7" t="str">
        <f>VLOOKUP(B1638,Indice!$B$1:$C$22,2,0)</f>
        <v>RESDAL</v>
      </c>
      <c r="D1638" s="7" t="str">
        <f>$A1638&amp;"-"&amp;$C1638&amp;"-"&amp;TEXT(COUNTIFS($A$2:$A1638,$A1638,$C$2:$C1638,$C1638),"000")</f>
        <v>F3-RESDAL-046</v>
      </c>
      <c r="E1638" s="7" t="s">
        <v>1696</v>
      </c>
      <c r="F1638" s="7" t="s">
        <v>1669</v>
      </c>
      <c r="G1638" s="7" t="s">
        <v>3</v>
      </c>
    </row>
    <row r="1639" spans="1:7">
      <c r="A1639" s="7" t="s">
        <v>1006</v>
      </c>
      <c r="B1639" s="7" t="s">
        <v>44</v>
      </c>
      <c r="C1639" s="7" t="str">
        <f>VLOOKUP(B1639,Indice!$B$1:$C$22,2,0)</f>
        <v>RESDAL</v>
      </c>
      <c r="D1639" s="7" t="str">
        <f>$A1639&amp;"-"&amp;$C1639&amp;"-"&amp;TEXT(COUNTIFS($A$2:$A1639,$A1639,$C$2:$C1639,$C1639),"000")</f>
        <v>F3-RESDAL-047</v>
      </c>
      <c r="E1639" s="7" t="s">
        <v>1697</v>
      </c>
      <c r="F1639" s="7" t="s">
        <v>1669</v>
      </c>
      <c r="G1639" s="7" t="s">
        <v>3</v>
      </c>
    </row>
    <row r="1640" spans="1:7">
      <c r="A1640" s="7" t="s">
        <v>1006</v>
      </c>
      <c r="B1640" s="7" t="s">
        <v>44</v>
      </c>
      <c r="C1640" s="7" t="str">
        <f>VLOOKUP(B1640,Indice!$B$1:$C$22,2,0)</f>
        <v>RESDAL</v>
      </c>
      <c r="D1640" s="7" t="str">
        <f>$A1640&amp;"-"&amp;$C1640&amp;"-"&amp;TEXT(COUNTIFS($A$2:$A1640,$A1640,$C$2:$C1640,$C1640),"000")</f>
        <v>F3-RESDAL-048</v>
      </c>
      <c r="E1640" s="7" t="s">
        <v>1698</v>
      </c>
      <c r="F1640" s="7" t="s">
        <v>1669</v>
      </c>
      <c r="G1640" s="7" t="s">
        <v>3</v>
      </c>
    </row>
    <row r="1641" spans="1:7">
      <c r="A1641" s="7" t="s">
        <v>1006</v>
      </c>
      <c r="B1641" s="7" t="s">
        <v>44</v>
      </c>
      <c r="C1641" s="7" t="str">
        <f>VLOOKUP(B1641,Indice!$B$1:$C$22,2,0)</f>
        <v>RESDAL</v>
      </c>
      <c r="D1641" s="7" t="str">
        <f>$A1641&amp;"-"&amp;$C1641&amp;"-"&amp;TEXT(COUNTIFS($A$2:$A1641,$A1641,$C$2:$C1641,$C1641),"000")</f>
        <v>F3-RESDAL-049</v>
      </c>
      <c r="E1641" s="7" t="s">
        <v>1699</v>
      </c>
      <c r="F1641" s="7" t="s">
        <v>1669</v>
      </c>
      <c r="G1641" s="7" t="s">
        <v>3</v>
      </c>
    </row>
    <row r="1642" spans="1:7">
      <c r="A1642" s="7" t="s">
        <v>1006</v>
      </c>
      <c r="B1642" s="7" t="s">
        <v>44</v>
      </c>
      <c r="C1642" s="7" t="str">
        <f>VLOOKUP(B1642,Indice!$B$1:$C$22,2,0)</f>
        <v>RESDAL</v>
      </c>
      <c r="D1642" s="7" t="str">
        <f>$A1642&amp;"-"&amp;$C1642&amp;"-"&amp;TEXT(COUNTIFS($A$2:$A1642,$A1642,$C$2:$C1642,$C1642),"000")</f>
        <v>F3-RESDAL-050</v>
      </c>
      <c r="E1642" s="7" t="s">
        <v>1700</v>
      </c>
      <c r="F1642" s="7" t="s">
        <v>1669</v>
      </c>
      <c r="G1642" s="7" t="s">
        <v>3</v>
      </c>
    </row>
    <row r="1643" spans="1:7">
      <c r="A1643" s="7" t="s">
        <v>1006</v>
      </c>
      <c r="B1643" s="7" t="s">
        <v>44</v>
      </c>
      <c r="C1643" s="7" t="str">
        <f>VLOOKUP(B1643,Indice!$B$1:$C$22,2,0)</f>
        <v>RESDAL</v>
      </c>
      <c r="D1643" s="7" t="str">
        <f>$A1643&amp;"-"&amp;$C1643&amp;"-"&amp;TEXT(COUNTIFS($A$2:$A1643,$A1643,$C$2:$C1643,$C1643),"000")</f>
        <v>F3-RESDAL-051</v>
      </c>
      <c r="E1643" s="7" t="s">
        <v>1701</v>
      </c>
      <c r="F1643" s="7" t="s">
        <v>1669</v>
      </c>
      <c r="G1643" s="7" t="s">
        <v>3</v>
      </c>
    </row>
    <row r="1644" spans="1:7">
      <c r="A1644" s="7" t="s">
        <v>1006</v>
      </c>
      <c r="B1644" s="7" t="s">
        <v>44</v>
      </c>
      <c r="C1644" s="7" t="str">
        <f>VLOOKUP(B1644,Indice!$B$1:$C$22,2,0)</f>
        <v>RESDAL</v>
      </c>
      <c r="D1644" s="7" t="str">
        <f>$A1644&amp;"-"&amp;$C1644&amp;"-"&amp;TEXT(COUNTIFS($A$2:$A1644,$A1644,$C$2:$C1644,$C1644),"000")</f>
        <v>F3-RESDAL-052</v>
      </c>
      <c r="E1644" s="7" t="s">
        <v>1702</v>
      </c>
      <c r="F1644" s="7" t="s">
        <v>1669</v>
      </c>
      <c r="G1644" s="7" t="s">
        <v>3</v>
      </c>
    </row>
    <row r="1645" spans="1:7">
      <c r="A1645" s="7" t="s">
        <v>1006</v>
      </c>
      <c r="B1645" s="7" t="s">
        <v>44</v>
      </c>
      <c r="C1645" s="7" t="str">
        <f>VLOOKUP(B1645,Indice!$B$1:$C$22,2,0)</f>
        <v>RESDAL</v>
      </c>
      <c r="D1645" s="7" t="str">
        <f>$A1645&amp;"-"&amp;$C1645&amp;"-"&amp;TEXT(COUNTIFS($A$2:$A1645,$A1645,$C$2:$C1645,$C1645),"000")</f>
        <v>F3-RESDAL-053</v>
      </c>
      <c r="E1645" s="7" t="s">
        <v>1703</v>
      </c>
      <c r="F1645" s="7" t="s">
        <v>1669</v>
      </c>
      <c r="G1645" s="7" t="s">
        <v>3</v>
      </c>
    </row>
    <row r="1646" spans="1:7">
      <c r="A1646" s="7" t="s">
        <v>1006</v>
      </c>
      <c r="B1646" s="7" t="s">
        <v>44</v>
      </c>
      <c r="C1646" s="7" t="str">
        <f>VLOOKUP(B1646,Indice!$B$1:$C$22,2,0)</f>
        <v>RESDAL</v>
      </c>
      <c r="D1646" s="7" t="str">
        <f>$A1646&amp;"-"&amp;$C1646&amp;"-"&amp;TEXT(COUNTIFS($A$2:$A1646,$A1646,$C$2:$C1646,$C1646),"000")</f>
        <v>F3-RESDAL-054</v>
      </c>
      <c r="E1646" s="7" t="s">
        <v>1704</v>
      </c>
      <c r="F1646" s="7" t="s">
        <v>1669</v>
      </c>
      <c r="G1646" s="7" t="s">
        <v>3</v>
      </c>
    </row>
    <row r="1647" spans="1:7">
      <c r="A1647" s="7" t="s">
        <v>1006</v>
      </c>
      <c r="B1647" s="7" t="s">
        <v>44</v>
      </c>
      <c r="C1647" s="7" t="str">
        <f>VLOOKUP(B1647,Indice!$B$1:$C$22,2,0)</f>
        <v>RESDAL</v>
      </c>
      <c r="D1647" s="7" t="str">
        <f>$A1647&amp;"-"&amp;$C1647&amp;"-"&amp;TEXT(COUNTIFS($A$2:$A1647,$A1647,$C$2:$C1647,$C1647),"000")</f>
        <v>F3-RESDAL-055</v>
      </c>
      <c r="E1647" s="7" t="s">
        <v>1705</v>
      </c>
      <c r="F1647" s="7" t="s">
        <v>1669</v>
      </c>
      <c r="G1647" s="7" t="s">
        <v>3</v>
      </c>
    </row>
    <row r="1648" spans="1:7">
      <c r="A1648" s="7" t="s">
        <v>1006</v>
      </c>
      <c r="B1648" s="7" t="s">
        <v>44</v>
      </c>
      <c r="C1648" s="7" t="str">
        <f>VLOOKUP(B1648,Indice!$B$1:$C$22,2,0)</f>
        <v>RESDAL</v>
      </c>
      <c r="D1648" s="7" t="str">
        <f>$A1648&amp;"-"&amp;$C1648&amp;"-"&amp;TEXT(COUNTIFS($A$2:$A1648,$A1648,$C$2:$C1648,$C1648),"000")</f>
        <v>F3-RESDAL-056</v>
      </c>
      <c r="E1648" s="7" t="s">
        <v>1706</v>
      </c>
      <c r="F1648" s="7" t="s">
        <v>1669</v>
      </c>
      <c r="G1648" s="7" t="s">
        <v>3</v>
      </c>
    </row>
    <row r="1649" spans="1:7">
      <c r="A1649" s="7" t="s">
        <v>1006</v>
      </c>
      <c r="B1649" s="7" t="s">
        <v>44</v>
      </c>
      <c r="C1649" s="7" t="str">
        <f>VLOOKUP(B1649,Indice!$B$1:$C$22,2,0)</f>
        <v>RESDAL</v>
      </c>
      <c r="D1649" s="7" t="str">
        <f>$A1649&amp;"-"&amp;$C1649&amp;"-"&amp;TEXT(COUNTIFS($A$2:$A1649,$A1649,$C$2:$C1649,$C1649),"000")</f>
        <v>F3-RESDAL-057</v>
      </c>
      <c r="E1649" s="7" t="s">
        <v>1707</v>
      </c>
      <c r="F1649" s="7" t="s">
        <v>1669</v>
      </c>
      <c r="G1649" s="7" t="s">
        <v>3</v>
      </c>
    </row>
    <row r="1650" spans="1:7">
      <c r="A1650" s="7" t="s">
        <v>1006</v>
      </c>
      <c r="B1650" s="7" t="s">
        <v>44</v>
      </c>
      <c r="C1650" s="7" t="str">
        <f>VLOOKUP(B1650,Indice!$B$1:$C$22,2,0)</f>
        <v>RESDAL</v>
      </c>
      <c r="D1650" s="7" t="str">
        <f>$A1650&amp;"-"&amp;$C1650&amp;"-"&amp;TEXT(COUNTIFS($A$2:$A1650,$A1650,$C$2:$C1650,$C1650),"000")</f>
        <v>F3-RESDAL-058</v>
      </c>
      <c r="E1650" s="7" t="s">
        <v>1708</v>
      </c>
      <c r="F1650" s="7" t="s">
        <v>1669</v>
      </c>
      <c r="G1650" s="7" t="s">
        <v>3</v>
      </c>
    </row>
    <row r="1651" spans="1:7">
      <c r="A1651" s="7" t="s">
        <v>1006</v>
      </c>
      <c r="B1651" s="7" t="s">
        <v>44</v>
      </c>
      <c r="C1651" s="7" t="str">
        <f>VLOOKUP(B1651,Indice!$B$1:$C$22,2,0)</f>
        <v>RESDAL</v>
      </c>
      <c r="D1651" s="7" t="str">
        <f>$A1651&amp;"-"&amp;$C1651&amp;"-"&amp;TEXT(COUNTIFS($A$2:$A1651,$A1651,$C$2:$C1651,$C1651),"000")</f>
        <v>F3-RESDAL-059</v>
      </c>
      <c r="E1651" s="7" t="s">
        <v>1709</v>
      </c>
      <c r="F1651" s="7" t="s">
        <v>1669</v>
      </c>
      <c r="G1651" s="7" t="s">
        <v>3</v>
      </c>
    </row>
    <row r="1652" spans="1:7">
      <c r="A1652" s="7" t="s">
        <v>1006</v>
      </c>
      <c r="B1652" s="7" t="s">
        <v>44</v>
      </c>
      <c r="C1652" s="7" t="str">
        <f>VLOOKUP(B1652,Indice!$B$1:$C$22,2,0)</f>
        <v>RESDAL</v>
      </c>
      <c r="D1652" s="7" t="str">
        <f>$A1652&amp;"-"&amp;$C1652&amp;"-"&amp;TEXT(COUNTIFS($A$2:$A1652,$A1652,$C$2:$C1652,$C1652),"000")</f>
        <v>F3-RESDAL-060</v>
      </c>
      <c r="E1652" s="7" t="s">
        <v>1710</v>
      </c>
      <c r="F1652" s="7" t="s">
        <v>1669</v>
      </c>
      <c r="G1652" s="7" t="s">
        <v>3</v>
      </c>
    </row>
    <row r="1653" spans="1:7">
      <c r="A1653" s="7" t="s">
        <v>1006</v>
      </c>
      <c r="B1653" s="7" t="s">
        <v>44</v>
      </c>
      <c r="C1653" s="7" t="str">
        <f>VLOOKUP(B1653,Indice!$B$1:$C$22,2,0)</f>
        <v>RESDAL</v>
      </c>
      <c r="D1653" s="7" t="str">
        <f>$A1653&amp;"-"&amp;$C1653&amp;"-"&amp;TEXT(COUNTIFS($A$2:$A1653,$A1653,$C$2:$C1653,$C1653),"000")</f>
        <v>F3-RESDAL-061</v>
      </c>
      <c r="E1653" s="7" t="s">
        <v>1711</v>
      </c>
      <c r="F1653" s="7" t="s">
        <v>1669</v>
      </c>
      <c r="G1653" s="7" t="s">
        <v>3</v>
      </c>
    </row>
    <row r="1654" spans="1:7">
      <c r="A1654" s="7" t="s">
        <v>1006</v>
      </c>
      <c r="B1654" s="7" t="s">
        <v>44</v>
      </c>
      <c r="C1654" s="7" t="str">
        <f>VLOOKUP(B1654,Indice!$B$1:$C$22,2,0)</f>
        <v>RESDAL</v>
      </c>
      <c r="D1654" s="7" t="str">
        <f>$A1654&amp;"-"&amp;$C1654&amp;"-"&amp;TEXT(COUNTIFS($A$2:$A1654,$A1654,$C$2:$C1654,$C1654),"000")</f>
        <v>F3-RESDAL-062</v>
      </c>
      <c r="E1654" s="7" t="s">
        <v>1712</v>
      </c>
      <c r="F1654" s="7" t="s">
        <v>1669</v>
      </c>
      <c r="G1654" s="7" t="s">
        <v>3</v>
      </c>
    </row>
    <row r="1655" spans="1:7">
      <c r="A1655" s="7" t="s">
        <v>1006</v>
      </c>
      <c r="B1655" s="7" t="s">
        <v>44</v>
      </c>
      <c r="C1655" s="7" t="str">
        <f>VLOOKUP(B1655,Indice!$B$1:$C$22,2,0)</f>
        <v>RESDAL</v>
      </c>
      <c r="D1655" s="7" t="str">
        <f>$A1655&amp;"-"&amp;$C1655&amp;"-"&amp;TEXT(COUNTIFS($A$2:$A1655,$A1655,$C$2:$C1655,$C1655),"000")</f>
        <v>F3-RESDAL-063</v>
      </c>
      <c r="E1655" s="7" t="s">
        <v>1713</v>
      </c>
      <c r="F1655" s="7" t="s">
        <v>1714</v>
      </c>
      <c r="G1655" s="7" t="s">
        <v>3</v>
      </c>
    </row>
    <row r="1656" spans="1:7">
      <c r="A1656" s="7" t="s">
        <v>1006</v>
      </c>
      <c r="B1656" s="7" t="s">
        <v>44</v>
      </c>
      <c r="C1656" s="7" t="str">
        <f>VLOOKUP(B1656,Indice!$B$1:$C$22,2,0)</f>
        <v>RESDAL</v>
      </c>
      <c r="D1656" s="7" t="str">
        <f>$A1656&amp;"-"&amp;$C1656&amp;"-"&amp;TEXT(COUNTIFS($A$2:$A1656,$A1656,$C$2:$C1656,$C1656),"000")</f>
        <v>F3-RESDAL-064</v>
      </c>
      <c r="E1656" s="7" t="s">
        <v>1715</v>
      </c>
      <c r="F1656" s="7" t="s">
        <v>1714</v>
      </c>
      <c r="G1656" s="7" t="s">
        <v>3</v>
      </c>
    </row>
    <row r="1657" spans="1:7">
      <c r="A1657" s="7" t="s">
        <v>1006</v>
      </c>
      <c r="B1657" s="7" t="s">
        <v>44</v>
      </c>
      <c r="C1657" s="7" t="str">
        <f>VLOOKUP(B1657,Indice!$B$1:$C$22,2,0)</f>
        <v>RESDAL</v>
      </c>
      <c r="D1657" s="7" t="str">
        <f>$A1657&amp;"-"&amp;$C1657&amp;"-"&amp;TEXT(COUNTIFS($A$2:$A1657,$A1657,$C$2:$C1657,$C1657),"000")</f>
        <v>F3-RESDAL-065</v>
      </c>
      <c r="E1657" s="7" t="s">
        <v>1716</v>
      </c>
      <c r="F1657" s="7" t="s">
        <v>1714</v>
      </c>
      <c r="G1657" s="7" t="s">
        <v>3</v>
      </c>
    </row>
    <row r="1658" spans="1:7">
      <c r="A1658" s="7" t="s">
        <v>1006</v>
      </c>
      <c r="B1658" s="7" t="s">
        <v>44</v>
      </c>
      <c r="C1658" s="7" t="str">
        <f>VLOOKUP(B1658,Indice!$B$1:$C$22,2,0)</f>
        <v>RESDAL</v>
      </c>
      <c r="D1658" s="7" t="str">
        <f>$A1658&amp;"-"&amp;$C1658&amp;"-"&amp;TEXT(COUNTIFS($A$2:$A1658,$A1658,$C$2:$C1658,$C1658),"000")</f>
        <v>F3-RESDAL-066</v>
      </c>
      <c r="E1658" s="7" t="s">
        <v>1717</v>
      </c>
      <c r="F1658" s="7" t="s">
        <v>1714</v>
      </c>
      <c r="G1658" s="7" t="s">
        <v>3</v>
      </c>
    </row>
    <row r="1659" spans="1:7">
      <c r="A1659" s="7" t="s">
        <v>1006</v>
      </c>
      <c r="B1659" s="7" t="s">
        <v>44</v>
      </c>
      <c r="C1659" s="7" t="str">
        <f>VLOOKUP(B1659,Indice!$B$1:$C$22,2,0)</f>
        <v>RESDAL</v>
      </c>
      <c r="D1659" s="7" t="str">
        <f>$A1659&amp;"-"&amp;$C1659&amp;"-"&amp;TEXT(COUNTIFS($A$2:$A1659,$A1659,$C$2:$C1659,$C1659),"000")</f>
        <v>F3-RESDAL-067</v>
      </c>
      <c r="E1659" s="7" t="s">
        <v>1718</v>
      </c>
      <c r="F1659" s="7" t="s">
        <v>1714</v>
      </c>
      <c r="G1659" s="7" t="s">
        <v>3</v>
      </c>
    </row>
    <row r="1660" spans="1:7">
      <c r="A1660" s="7" t="s">
        <v>1006</v>
      </c>
      <c r="B1660" s="7" t="s">
        <v>44</v>
      </c>
      <c r="C1660" s="7" t="str">
        <f>VLOOKUP(B1660,Indice!$B$1:$C$22,2,0)</f>
        <v>RESDAL</v>
      </c>
      <c r="D1660" s="7" t="str">
        <f>$A1660&amp;"-"&amp;$C1660&amp;"-"&amp;TEXT(COUNTIFS($A$2:$A1660,$A1660,$C$2:$C1660,$C1660),"000")</f>
        <v>F3-RESDAL-068</v>
      </c>
      <c r="E1660" s="7" t="s">
        <v>1719</v>
      </c>
      <c r="F1660" s="7" t="s">
        <v>1714</v>
      </c>
      <c r="G1660" s="7" t="s">
        <v>3</v>
      </c>
    </row>
    <row r="1661" spans="1:7">
      <c r="A1661" s="7" t="s">
        <v>1006</v>
      </c>
      <c r="B1661" s="7" t="s">
        <v>44</v>
      </c>
      <c r="C1661" s="7" t="str">
        <f>VLOOKUP(B1661,Indice!$B$1:$C$22,2,0)</f>
        <v>RESDAL</v>
      </c>
      <c r="D1661" s="7" t="str">
        <f>$A1661&amp;"-"&amp;$C1661&amp;"-"&amp;TEXT(COUNTIFS($A$2:$A1661,$A1661,$C$2:$C1661,$C1661),"000")</f>
        <v>F3-RESDAL-069</v>
      </c>
      <c r="E1661" s="7" t="s">
        <v>1720</v>
      </c>
      <c r="F1661" s="7" t="s">
        <v>1714</v>
      </c>
      <c r="G1661" s="7" t="s">
        <v>3</v>
      </c>
    </row>
    <row r="1662" spans="1:7">
      <c r="A1662" s="7" t="s">
        <v>1006</v>
      </c>
      <c r="B1662" s="7" t="s">
        <v>44</v>
      </c>
      <c r="C1662" s="7" t="str">
        <f>VLOOKUP(B1662,Indice!$B$1:$C$22,2,0)</f>
        <v>RESDAL</v>
      </c>
      <c r="D1662" s="7" t="str">
        <f>$A1662&amp;"-"&amp;$C1662&amp;"-"&amp;TEXT(COUNTIFS($A$2:$A1662,$A1662,$C$2:$C1662,$C1662),"000")</f>
        <v>F3-RESDAL-070</v>
      </c>
      <c r="E1662" s="7" t="s">
        <v>1721</v>
      </c>
      <c r="F1662" s="7" t="s">
        <v>1714</v>
      </c>
      <c r="G1662" s="7" t="s">
        <v>3</v>
      </c>
    </row>
    <row r="1663" spans="1:7">
      <c r="A1663" s="7" t="s">
        <v>1006</v>
      </c>
      <c r="B1663" s="7" t="s">
        <v>44</v>
      </c>
      <c r="C1663" s="7" t="str">
        <f>VLOOKUP(B1663,Indice!$B$1:$C$22,2,0)</f>
        <v>RESDAL</v>
      </c>
      <c r="D1663" s="7" t="str">
        <f>$A1663&amp;"-"&amp;$C1663&amp;"-"&amp;TEXT(COUNTIFS($A$2:$A1663,$A1663,$C$2:$C1663,$C1663),"000")</f>
        <v>F3-RESDAL-071</v>
      </c>
      <c r="E1663" s="7" t="s">
        <v>1722</v>
      </c>
      <c r="F1663" s="7" t="s">
        <v>1714</v>
      </c>
      <c r="G1663" s="7" t="s">
        <v>3</v>
      </c>
    </row>
    <row r="1664" spans="1:7">
      <c r="A1664" s="7" t="s">
        <v>1006</v>
      </c>
      <c r="B1664" s="7" t="s">
        <v>44</v>
      </c>
      <c r="C1664" s="7" t="str">
        <f>VLOOKUP(B1664,Indice!$B$1:$C$22,2,0)</f>
        <v>RESDAL</v>
      </c>
      <c r="D1664" s="7" t="str">
        <f>$A1664&amp;"-"&amp;$C1664&amp;"-"&amp;TEXT(COUNTIFS($A$2:$A1664,$A1664,$C$2:$C1664,$C1664),"000")</f>
        <v>F3-RESDAL-072</v>
      </c>
      <c r="E1664" s="7" t="s">
        <v>1723</v>
      </c>
      <c r="F1664" s="7" t="s">
        <v>1714</v>
      </c>
      <c r="G1664" s="7" t="s">
        <v>3</v>
      </c>
    </row>
    <row r="1665" spans="1:7">
      <c r="A1665" s="7" t="s">
        <v>1006</v>
      </c>
      <c r="B1665" s="7" t="s">
        <v>44</v>
      </c>
      <c r="C1665" s="7" t="str">
        <f>VLOOKUP(B1665,Indice!$B$1:$C$22,2,0)</f>
        <v>RESDAL</v>
      </c>
      <c r="D1665" s="7" t="str">
        <f>$A1665&amp;"-"&amp;$C1665&amp;"-"&amp;TEXT(COUNTIFS($A$2:$A1665,$A1665,$C$2:$C1665,$C1665),"000")</f>
        <v>F3-RESDAL-073</v>
      </c>
      <c r="E1665" s="7" t="s">
        <v>1724</v>
      </c>
      <c r="F1665" s="7" t="s">
        <v>1714</v>
      </c>
      <c r="G1665" s="7" t="s">
        <v>3</v>
      </c>
    </row>
    <row r="1666" spans="1:7">
      <c r="A1666" s="7" t="s">
        <v>1006</v>
      </c>
      <c r="B1666" s="7" t="s">
        <v>44</v>
      </c>
      <c r="C1666" s="7" t="str">
        <f>VLOOKUP(B1666,Indice!$B$1:$C$22,2,0)</f>
        <v>RESDAL</v>
      </c>
      <c r="D1666" s="7" t="str">
        <f>$A1666&amp;"-"&amp;$C1666&amp;"-"&amp;TEXT(COUNTIFS($A$2:$A1666,$A1666,$C$2:$C1666,$C1666),"000")</f>
        <v>F3-RESDAL-074</v>
      </c>
      <c r="E1666" s="7" t="s">
        <v>1725</v>
      </c>
      <c r="F1666" s="7" t="s">
        <v>1714</v>
      </c>
      <c r="G1666" s="7" t="s">
        <v>3</v>
      </c>
    </row>
    <row r="1667" spans="1:7">
      <c r="A1667" s="7" t="s">
        <v>1006</v>
      </c>
      <c r="B1667" s="7" t="s">
        <v>44</v>
      </c>
      <c r="C1667" s="7" t="str">
        <f>VLOOKUP(B1667,Indice!$B$1:$C$22,2,0)</f>
        <v>RESDAL</v>
      </c>
      <c r="D1667" s="7" t="str">
        <f>$A1667&amp;"-"&amp;$C1667&amp;"-"&amp;TEXT(COUNTIFS($A$2:$A1667,$A1667,$C$2:$C1667,$C1667),"000")</f>
        <v>F3-RESDAL-075</v>
      </c>
      <c r="E1667" s="7" t="s">
        <v>1726</v>
      </c>
      <c r="F1667" s="7" t="s">
        <v>1714</v>
      </c>
      <c r="G1667" s="7" t="s">
        <v>3</v>
      </c>
    </row>
    <row r="1668" spans="1:7">
      <c r="A1668" s="7" t="s">
        <v>1006</v>
      </c>
      <c r="B1668" s="7" t="s">
        <v>44</v>
      </c>
      <c r="C1668" s="7" t="str">
        <f>VLOOKUP(B1668,Indice!$B$1:$C$22,2,0)</f>
        <v>RESDAL</v>
      </c>
      <c r="D1668" s="7" t="str">
        <f>$A1668&amp;"-"&amp;$C1668&amp;"-"&amp;TEXT(COUNTIFS($A$2:$A1668,$A1668,$C$2:$C1668,$C1668),"000")</f>
        <v>F3-RESDAL-076</v>
      </c>
      <c r="E1668" s="7" t="s">
        <v>1727</v>
      </c>
      <c r="F1668" s="7" t="s">
        <v>1714</v>
      </c>
      <c r="G1668" s="7" t="s">
        <v>3</v>
      </c>
    </row>
    <row r="1669" spans="1:7">
      <c r="A1669" s="7" t="s">
        <v>1006</v>
      </c>
      <c r="B1669" s="7" t="s">
        <v>44</v>
      </c>
      <c r="C1669" s="7" t="str">
        <f>VLOOKUP(B1669,Indice!$B$1:$C$22,2,0)</f>
        <v>RESDAL</v>
      </c>
      <c r="D1669" s="7" t="str">
        <f>$A1669&amp;"-"&amp;$C1669&amp;"-"&amp;TEXT(COUNTIFS($A$2:$A1669,$A1669,$C$2:$C1669,$C1669),"000")</f>
        <v>F3-RESDAL-077</v>
      </c>
      <c r="E1669" s="7" t="s">
        <v>1728</v>
      </c>
      <c r="F1669" s="7" t="s">
        <v>1714</v>
      </c>
      <c r="G1669" s="7" t="s">
        <v>3</v>
      </c>
    </row>
    <row r="1670" spans="1:7">
      <c r="A1670" s="7" t="s">
        <v>1006</v>
      </c>
      <c r="B1670" s="7" t="s">
        <v>44</v>
      </c>
      <c r="C1670" s="7" t="str">
        <f>VLOOKUP(B1670,Indice!$B$1:$C$22,2,0)</f>
        <v>RESDAL</v>
      </c>
      <c r="D1670" s="7" t="str">
        <f>$A1670&amp;"-"&amp;$C1670&amp;"-"&amp;TEXT(COUNTIFS($A$2:$A1670,$A1670,$C$2:$C1670,$C1670),"000")</f>
        <v>F3-RESDAL-078</v>
      </c>
      <c r="E1670" s="7" t="s">
        <v>1729</v>
      </c>
      <c r="F1670" s="7" t="s">
        <v>1714</v>
      </c>
      <c r="G1670" s="7" t="s">
        <v>3</v>
      </c>
    </row>
    <row r="1671" spans="1:7">
      <c r="A1671" s="7" t="s">
        <v>1006</v>
      </c>
      <c r="B1671" s="7" t="s">
        <v>44</v>
      </c>
      <c r="C1671" s="7" t="str">
        <f>VLOOKUP(B1671,Indice!$B$1:$C$22,2,0)</f>
        <v>RESDAL</v>
      </c>
      <c r="D1671" s="7" t="str">
        <f>$A1671&amp;"-"&amp;$C1671&amp;"-"&amp;TEXT(COUNTIFS($A$2:$A1671,$A1671,$C$2:$C1671,$C1671),"000")</f>
        <v>F3-RESDAL-079</v>
      </c>
      <c r="E1671" s="7" t="s">
        <v>1730</v>
      </c>
      <c r="F1671" s="7" t="s">
        <v>1714</v>
      </c>
      <c r="G1671" s="7" t="s">
        <v>3</v>
      </c>
    </row>
    <row r="1672" spans="1:7">
      <c r="A1672" s="7" t="s">
        <v>1006</v>
      </c>
      <c r="B1672" s="7" t="s">
        <v>44</v>
      </c>
      <c r="C1672" s="7" t="str">
        <f>VLOOKUP(B1672,Indice!$B$1:$C$22,2,0)</f>
        <v>RESDAL</v>
      </c>
      <c r="D1672" s="7" t="str">
        <f>$A1672&amp;"-"&amp;$C1672&amp;"-"&amp;TEXT(COUNTIFS($A$2:$A1672,$A1672,$C$2:$C1672,$C1672),"000")</f>
        <v>F3-RESDAL-080</v>
      </c>
      <c r="E1672" s="7" t="s">
        <v>1731</v>
      </c>
      <c r="F1672" s="7" t="s">
        <v>1714</v>
      </c>
      <c r="G1672" s="7" t="s">
        <v>3</v>
      </c>
    </row>
    <row r="1673" spans="1:7">
      <c r="A1673" s="7" t="s">
        <v>1006</v>
      </c>
      <c r="B1673" s="7" t="s">
        <v>44</v>
      </c>
      <c r="C1673" s="7" t="str">
        <f>VLOOKUP(B1673,Indice!$B$1:$C$22,2,0)</f>
        <v>RESDAL</v>
      </c>
      <c r="D1673" s="7" t="str">
        <f>$A1673&amp;"-"&amp;$C1673&amp;"-"&amp;TEXT(COUNTIFS($A$2:$A1673,$A1673,$C$2:$C1673,$C1673),"000")</f>
        <v>F3-RESDAL-081</v>
      </c>
      <c r="E1673" s="7" t="s">
        <v>1732</v>
      </c>
      <c r="F1673" s="7" t="s">
        <v>1714</v>
      </c>
      <c r="G1673" s="7" t="s">
        <v>3</v>
      </c>
    </row>
    <row r="1674" spans="1:7">
      <c r="A1674" s="7" t="s">
        <v>1006</v>
      </c>
      <c r="B1674" s="7" t="s">
        <v>44</v>
      </c>
      <c r="C1674" s="7" t="str">
        <f>VLOOKUP(B1674,Indice!$B$1:$C$22,2,0)</f>
        <v>RESDAL</v>
      </c>
      <c r="D1674" s="7" t="str">
        <f>$A1674&amp;"-"&amp;$C1674&amp;"-"&amp;TEXT(COUNTIFS($A$2:$A1674,$A1674,$C$2:$C1674,$C1674),"000")</f>
        <v>F3-RESDAL-082</v>
      </c>
      <c r="E1674" s="7" t="s">
        <v>1733</v>
      </c>
      <c r="F1674" s="7" t="s">
        <v>1714</v>
      </c>
      <c r="G1674" s="7" t="s">
        <v>3</v>
      </c>
    </row>
    <row r="1675" spans="1:7">
      <c r="A1675" s="7" t="s">
        <v>1006</v>
      </c>
      <c r="B1675" s="7" t="s">
        <v>44</v>
      </c>
      <c r="C1675" s="7" t="str">
        <f>VLOOKUP(B1675,Indice!$B$1:$C$22,2,0)</f>
        <v>RESDAL</v>
      </c>
      <c r="D1675" s="7" t="str">
        <f>$A1675&amp;"-"&amp;$C1675&amp;"-"&amp;TEXT(COUNTIFS($A$2:$A1675,$A1675,$C$2:$C1675,$C1675),"000")</f>
        <v>F3-RESDAL-083</v>
      </c>
      <c r="E1675" s="7" t="s">
        <v>1734</v>
      </c>
      <c r="F1675" s="7" t="s">
        <v>1714</v>
      </c>
      <c r="G1675" s="7" t="s">
        <v>3</v>
      </c>
    </row>
    <row r="1676" spans="1:7">
      <c r="A1676" s="7" t="s">
        <v>1006</v>
      </c>
      <c r="B1676" s="7" t="s">
        <v>44</v>
      </c>
      <c r="C1676" s="7" t="str">
        <f>VLOOKUP(B1676,Indice!$B$1:$C$22,2,0)</f>
        <v>RESDAL</v>
      </c>
      <c r="D1676" s="7" t="str">
        <f>$A1676&amp;"-"&amp;$C1676&amp;"-"&amp;TEXT(COUNTIFS($A$2:$A1676,$A1676,$C$2:$C1676,$C1676),"000")</f>
        <v>F3-RESDAL-084</v>
      </c>
      <c r="E1676" s="7" t="s">
        <v>1735</v>
      </c>
      <c r="F1676" s="7" t="s">
        <v>1714</v>
      </c>
      <c r="G1676" s="7" t="s">
        <v>3</v>
      </c>
    </row>
    <row r="1677" spans="1:7">
      <c r="A1677" s="7" t="s">
        <v>1006</v>
      </c>
      <c r="B1677" s="7" t="s">
        <v>44</v>
      </c>
      <c r="C1677" s="7" t="str">
        <f>VLOOKUP(B1677,Indice!$B$1:$C$22,2,0)</f>
        <v>RESDAL</v>
      </c>
      <c r="D1677" s="7" t="str">
        <f>$A1677&amp;"-"&amp;$C1677&amp;"-"&amp;TEXT(COUNTIFS($A$2:$A1677,$A1677,$C$2:$C1677,$C1677),"000")</f>
        <v>F3-RESDAL-085</v>
      </c>
      <c r="E1677" s="7" t="s">
        <v>1736</v>
      </c>
      <c r="F1677" s="7" t="s">
        <v>1714</v>
      </c>
      <c r="G1677" s="7" t="s">
        <v>3</v>
      </c>
    </row>
    <row r="1678" spans="1:7">
      <c r="A1678" s="7" t="s">
        <v>1006</v>
      </c>
      <c r="B1678" s="7" t="s">
        <v>44</v>
      </c>
      <c r="C1678" s="7" t="str">
        <f>VLOOKUP(B1678,Indice!$B$1:$C$22,2,0)</f>
        <v>RESDAL</v>
      </c>
      <c r="D1678" s="7" t="str">
        <f>$A1678&amp;"-"&amp;$C1678&amp;"-"&amp;TEXT(COUNTIFS($A$2:$A1678,$A1678,$C$2:$C1678,$C1678),"000")</f>
        <v>F3-RESDAL-086</v>
      </c>
      <c r="E1678" s="7" t="s">
        <v>1737</v>
      </c>
      <c r="F1678" s="7" t="s">
        <v>1714</v>
      </c>
      <c r="G1678" s="7" t="s">
        <v>3</v>
      </c>
    </row>
    <row r="1679" spans="1:7">
      <c r="A1679" s="7" t="s">
        <v>1006</v>
      </c>
      <c r="B1679" s="7" t="s">
        <v>44</v>
      </c>
      <c r="C1679" s="7" t="str">
        <f>VLOOKUP(B1679,Indice!$B$1:$C$22,2,0)</f>
        <v>RESDAL</v>
      </c>
      <c r="D1679" s="7" t="str">
        <f>$A1679&amp;"-"&amp;$C1679&amp;"-"&amp;TEXT(COUNTIFS($A$2:$A1679,$A1679,$C$2:$C1679,$C1679),"000")</f>
        <v>F3-RESDAL-087</v>
      </c>
      <c r="E1679" s="7" t="s">
        <v>1738</v>
      </c>
      <c r="F1679" s="7" t="s">
        <v>1714</v>
      </c>
      <c r="G1679" s="7" t="s">
        <v>3</v>
      </c>
    </row>
    <row r="1680" spans="1:7">
      <c r="A1680" s="7" t="s">
        <v>1006</v>
      </c>
      <c r="B1680" s="7" t="s">
        <v>44</v>
      </c>
      <c r="C1680" s="7" t="str">
        <f>VLOOKUP(B1680,Indice!$B$1:$C$22,2,0)</f>
        <v>RESDAL</v>
      </c>
      <c r="D1680" s="7" t="str">
        <f>$A1680&amp;"-"&amp;$C1680&amp;"-"&amp;TEXT(COUNTIFS($A$2:$A1680,$A1680,$C$2:$C1680,$C1680),"000")</f>
        <v>F3-RESDAL-088</v>
      </c>
      <c r="E1680" s="7" t="s">
        <v>1739</v>
      </c>
      <c r="F1680" s="7" t="s">
        <v>1714</v>
      </c>
      <c r="G1680" s="7" t="s">
        <v>3</v>
      </c>
    </row>
    <row r="1681" spans="1:7">
      <c r="A1681" s="7" t="s">
        <v>1006</v>
      </c>
      <c r="B1681" s="7" t="s">
        <v>44</v>
      </c>
      <c r="C1681" s="7" t="str">
        <f>VLOOKUP(B1681,Indice!$B$1:$C$22,2,0)</f>
        <v>RESDAL</v>
      </c>
      <c r="D1681" s="7" t="str">
        <f>$A1681&amp;"-"&amp;$C1681&amp;"-"&amp;TEXT(COUNTIFS($A$2:$A1681,$A1681,$C$2:$C1681,$C1681),"000")</f>
        <v>F3-RESDAL-089</v>
      </c>
      <c r="E1681" s="7" t="s">
        <v>1740</v>
      </c>
      <c r="F1681" s="7" t="s">
        <v>1714</v>
      </c>
      <c r="G1681" s="7" t="s">
        <v>3</v>
      </c>
    </row>
    <row r="1682" spans="1:7">
      <c r="A1682" s="7" t="s">
        <v>1006</v>
      </c>
      <c r="B1682" s="7" t="s">
        <v>44</v>
      </c>
      <c r="C1682" s="7" t="str">
        <f>VLOOKUP(B1682,Indice!$B$1:$C$22,2,0)</f>
        <v>RESDAL</v>
      </c>
      <c r="D1682" s="7" t="str">
        <f>$A1682&amp;"-"&amp;$C1682&amp;"-"&amp;TEXT(COUNTIFS($A$2:$A1682,$A1682,$C$2:$C1682,$C1682),"000")</f>
        <v>F3-RESDAL-090</v>
      </c>
      <c r="E1682" s="7" t="s">
        <v>1741</v>
      </c>
      <c r="F1682" s="7" t="s">
        <v>1714</v>
      </c>
      <c r="G1682" s="7" t="s">
        <v>3</v>
      </c>
    </row>
    <row r="1683" spans="1:7">
      <c r="A1683" s="7" t="s">
        <v>1006</v>
      </c>
      <c r="B1683" s="7" t="s">
        <v>44</v>
      </c>
      <c r="C1683" s="7" t="str">
        <f>VLOOKUP(B1683,Indice!$B$1:$C$22,2,0)</f>
        <v>RESDAL</v>
      </c>
      <c r="D1683" s="7" t="str">
        <f>$A1683&amp;"-"&amp;$C1683&amp;"-"&amp;TEXT(COUNTIFS($A$2:$A1683,$A1683,$C$2:$C1683,$C1683),"000")</f>
        <v>F3-RESDAL-091</v>
      </c>
      <c r="E1683" s="7" t="s">
        <v>1742</v>
      </c>
      <c r="F1683" s="7" t="s">
        <v>1714</v>
      </c>
      <c r="G1683" s="7" t="s">
        <v>3</v>
      </c>
    </row>
    <row r="1684" spans="1:7">
      <c r="A1684" s="7" t="s">
        <v>1006</v>
      </c>
      <c r="B1684" s="7" t="s">
        <v>44</v>
      </c>
      <c r="C1684" s="7" t="str">
        <f>VLOOKUP(B1684,Indice!$B$1:$C$22,2,0)</f>
        <v>RESDAL</v>
      </c>
      <c r="D1684" s="7" t="str">
        <f>$A1684&amp;"-"&amp;$C1684&amp;"-"&amp;TEXT(COUNTIFS($A$2:$A1684,$A1684,$C$2:$C1684,$C1684),"000")</f>
        <v>F3-RESDAL-092</v>
      </c>
      <c r="E1684" s="7" t="s">
        <v>1743</v>
      </c>
      <c r="F1684" s="7" t="s">
        <v>1648</v>
      </c>
      <c r="G1684" s="7" t="s">
        <v>3</v>
      </c>
    </row>
    <row r="1685" spans="1:7">
      <c r="A1685" s="7" t="s">
        <v>1006</v>
      </c>
      <c r="B1685" s="7" t="s">
        <v>44</v>
      </c>
      <c r="C1685" s="7" t="str">
        <f>VLOOKUP(B1685,Indice!$B$1:$C$22,2,0)</f>
        <v>RESDAL</v>
      </c>
      <c r="D1685" s="7" t="str">
        <f>$A1685&amp;"-"&amp;$C1685&amp;"-"&amp;TEXT(COUNTIFS($A$2:$A1685,$A1685,$C$2:$C1685,$C1685),"000")</f>
        <v>F3-RESDAL-093</v>
      </c>
      <c r="E1685" s="7" t="s">
        <v>1744</v>
      </c>
      <c r="F1685" s="7" t="s">
        <v>1682</v>
      </c>
      <c r="G1685" s="7" t="s">
        <v>3</v>
      </c>
    </row>
    <row r="1686" spans="1:7">
      <c r="A1686" s="7" t="s">
        <v>1006</v>
      </c>
      <c r="B1686" s="7" t="s">
        <v>44</v>
      </c>
      <c r="C1686" s="7" t="str">
        <f>VLOOKUP(B1686,Indice!$B$1:$C$22,2,0)</f>
        <v>RESDAL</v>
      </c>
      <c r="D1686" s="7" t="str">
        <f>$A1686&amp;"-"&amp;$C1686&amp;"-"&amp;TEXT(COUNTIFS($A$2:$A1686,$A1686,$C$2:$C1686,$C1686),"000")</f>
        <v>F3-RESDAL-094</v>
      </c>
      <c r="E1686" s="7" t="s">
        <v>1745</v>
      </c>
      <c r="F1686" s="7" t="s">
        <v>1682</v>
      </c>
      <c r="G1686" s="7" t="s">
        <v>3</v>
      </c>
    </row>
    <row r="1687" spans="1:7">
      <c r="A1687" s="7" t="s">
        <v>1006</v>
      </c>
      <c r="B1687" s="7" t="s">
        <v>44</v>
      </c>
      <c r="C1687" s="7" t="str">
        <f>VLOOKUP(B1687,Indice!$B$1:$C$22,2,0)</f>
        <v>RESDAL</v>
      </c>
      <c r="D1687" s="7" t="str">
        <f>$A1687&amp;"-"&amp;$C1687&amp;"-"&amp;TEXT(COUNTIFS($A$2:$A1687,$A1687,$C$2:$C1687,$C1687),"000")</f>
        <v>F3-RESDAL-095</v>
      </c>
      <c r="E1687" s="7" t="s">
        <v>1746</v>
      </c>
      <c r="F1687" s="7" t="s">
        <v>1682</v>
      </c>
      <c r="G1687" s="7" t="s">
        <v>3</v>
      </c>
    </row>
    <row r="1688" spans="1:7">
      <c r="A1688" s="7" t="s">
        <v>1006</v>
      </c>
      <c r="B1688" s="7" t="s">
        <v>44</v>
      </c>
      <c r="C1688" s="7" t="str">
        <f>VLOOKUP(B1688,Indice!$B$1:$C$22,2,0)</f>
        <v>RESDAL</v>
      </c>
      <c r="D1688" s="7" t="str">
        <f>$A1688&amp;"-"&amp;$C1688&amp;"-"&amp;TEXT(COUNTIFS($A$2:$A1688,$A1688,$C$2:$C1688,$C1688),"000")</f>
        <v>F3-RESDAL-096</v>
      </c>
      <c r="E1688" s="7" t="s">
        <v>1747</v>
      </c>
      <c r="F1688" s="7" t="s">
        <v>1680</v>
      </c>
      <c r="G1688" s="7" t="s">
        <v>3</v>
      </c>
    </row>
    <row r="1689" spans="1:7">
      <c r="A1689" s="7" t="s">
        <v>1006</v>
      </c>
      <c r="B1689" s="7" t="s">
        <v>44</v>
      </c>
      <c r="C1689" s="7" t="str">
        <f>VLOOKUP(B1689,Indice!$B$1:$C$22,2,0)</f>
        <v>RESDAL</v>
      </c>
      <c r="D1689" s="7" t="str">
        <f>$A1689&amp;"-"&amp;$C1689&amp;"-"&amp;TEXT(COUNTIFS($A$2:$A1689,$A1689,$C$2:$C1689,$C1689),"000")</f>
        <v>F3-RESDAL-097</v>
      </c>
      <c r="E1689" s="7" t="s">
        <v>1748</v>
      </c>
      <c r="F1689" s="7" t="s">
        <v>1680</v>
      </c>
      <c r="G1689" s="7" t="s">
        <v>3</v>
      </c>
    </row>
    <row r="1690" spans="1:7">
      <c r="A1690" s="7" t="s">
        <v>1006</v>
      </c>
      <c r="B1690" s="7" t="s">
        <v>44</v>
      </c>
      <c r="C1690" s="7" t="str">
        <f>VLOOKUP(B1690,Indice!$B$1:$C$22,2,0)</f>
        <v>RESDAL</v>
      </c>
      <c r="D1690" s="7" t="str">
        <f>$A1690&amp;"-"&amp;$C1690&amp;"-"&amp;TEXT(COUNTIFS($A$2:$A1690,$A1690,$C$2:$C1690,$C1690),"000")</f>
        <v>F3-RESDAL-098</v>
      </c>
      <c r="E1690" s="7" t="s">
        <v>1749</v>
      </c>
      <c r="F1690" s="7" t="s">
        <v>1750</v>
      </c>
      <c r="G1690" s="7" t="s">
        <v>5</v>
      </c>
    </row>
    <row r="1691" spans="1:7">
      <c r="A1691" s="7" t="s">
        <v>1006</v>
      </c>
      <c r="B1691" s="7" t="s">
        <v>44</v>
      </c>
      <c r="C1691" s="7" t="str">
        <f>VLOOKUP(B1691,Indice!$B$1:$C$22,2,0)</f>
        <v>RESDAL</v>
      </c>
      <c r="D1691" s="7" t="str">
        <f>$A1691&amp;"-"&amp;$C1691&amp;"-"&amp;TEXT(COUNTIFS($A$2:$A1691,$A1691,$C$2:$C1691,$C1691),"000")</f>
        <v>F3-RESDAL-099</v>
      </c>
      <c r="E1691" s="7" t="s">
        <v>1751</v>
      </c>
      <c r="F1691" s="7" t="s">
        <v>1750</v>
      </c>
      <c r="G1691" s="7" t="s">
        <v>4</v>
      </c>
    </row>
    <row r="1692" spans="1:7">
      <c r="A1692" s="7" t="s">
        <v>1006</v>
      </c>
      <c r="B1692" s="7" t="s">
        <v>44</v>
      </c>
      <c r="C1692" s="7" t="str">
        <f>VLOOKUP(B1692,Indice!$B$1:$C$22,2,0)</f>
        <v>RESDAL</v>
      </c>
      <c r="D1692" s="7" t="str">
        <f>$A1692&amp;"-"&amp;$C1692&amp;"-"&amp;TEXT(COUNTIFS($A$2:$A1692,$A1692,$C$2:$C1692,$C1692),"000")</f>
        <v>F3-RESDAL-100</v>
      </c>
      <c r="E1692" s="7" t="s">
        <v>1752</v>
      </c>
      <c r="F1692" s="7" t="s">
        <v>1680</v>
      </c>
      <c r="G1692" s="7" t="s">
        <v>3</v>
      </c>
    </row>
    <row r="1693" spans="1:7">
      <c r="A1693" s="7" t="s">
        <v>1006</v>
      </c>
      <c r="B1693" s="7" t="s">
        <v>44</v>
      </c>
      <c r="C1693" s="7" t="str">
        <f>VLOOKUP(B1693,Indice!$B$1:$C$22,2,0)</f>
        <v>RESDAL</v>
      </c>
      <c r="D1693" s="7" t="str">
        <f>$A1693&amp;"-"&amp;$C1693&amp;"-"&amp;TEXT(COUNTIFS($A$2:$A1693,$A1693,$C$2:$C1693,$C1693),"000")</f>
        <v>F3-RESDAL-101</v>
      </c>
      <c r="E1693" s="7" t="s">
        <v>1753</v>
      </c>
      <c r="F1693" s="7" t="s">
        <v>1680</v>
      </c>
      <c r="G1693" s="7" t="s">
        <v>3</v>
      </c>
    </row>
    <row r="1694" spans="1:7">
      <c r="A1694" s="7" t="s">
        <v>1006</v>
      </c>
      <c r="B1694" s="7" t="s">
        <v>44</v>
      </c>
      <c r="C1694" s="7" t="str">
        <f>VLOOKUP(B1694,Indice!$B$1:$C$22,2,0)</f>
        <v>RESDAL</v>
      </c>
      <c r="D1694" s="7" t="str">
        <f>$A1694&amp;"-"&amp;$C1694&amp;"-"&amp;TEXT(COUNTIFS($A$2:$A1694,$A1694,$C$2:$C1694,$C1694),"000")</f>
        <v>F3-RESDAL-102</v>
      </c>
      <c r="E1694" s="7" t="s">
        <v>1754</v>
      </c>
      <c r="F1694" s="7" t="s">
        <v>1648</v>
      </c>
      <c r="G1694" s="7" t="s">
        <v>3</v>
      </c>
    </row>
    <row r="1695" spans="1:7">
      <c r="A1695" s="7" t="s">
        <v>1006</v>
      </c>
      <c r="B1695" s="7" t="s">
        <v>44</v>
      </c>
      <c r="C1695" s="7" t="str">
        <f>VLOOKUP(B1695,Indice!$B$1:$C$22,2,0)</f>
        <v>RESDAL</v>
      </c>
      <c r="D1695" s="7" t="str">
        <f>$A1695&amp;"-"&amp;$C1695&amp;"-"&amp;TEXT(COUNTIFS($A$2:$A1695,$A1695,$C$2:$C1695,$C1695),"000")</f>
        <v>F3-RESDAL-103</v>
      </c>
      <c r="E1695" s="7" t="s">
        <v>1755</v>
      </c>
      <c r="F1695" s="7" t="s">
        <v>1648</v>
      </c>
      <c r="G1695" s="7" t="s">
        <v>3</v>
      </c>
    </row>
    <row r="1696" spans="1:7">
      <c r="A1696" s="7" t="s">
        <v>1006</v>
      </c>
      <c r="B1696" s="7" t="s">
        <v>44</v>
      </c>
      <c r="C1696" s="7" t="str">
        <f>VLOOKUP(B1696,Indice!$B$1:$C$22,2,0)</f>
        <v>RESDAL</v>
      </c>
      <c r="D1696" s="7" t="str">
        <f>$A1696&amp;"-"&amp;$C1696&amp;"-"&amp;TEXT(COUNTIFS($A$2:$A1696,$A1696,$C$2:$C1696,$C1696),"000")</f>
        <v>F3-RESDAL-104</v>
      </c>
      <c r="E1696" s="7" t="s">
        <v>1756</v>
      </c>
      <c r="F1696" s="7" t="s">
        <v>1680</v>
      </c>
      <c r="G1696" s="7" t="s">
        <v>3</v>
      </c>
    </row>
    <row r="1697" spans="1:7">
      <c r="A1697" s="7" t="s">
        <v>1006</v>
      </c>
      <c r="B1697" s="7" t="s">
        <v>44</v>
      </c>
      <c r="C1697" s="7" t="str">
        <f>VLOOKUP(B1697,Indice!$B$1:$C$22,2,0)</f>
        <v>RESDAL</v>
      </c>
      <c r="D1697" s="7" t="str">
        <f>$A1697&amp;"-"&amp;$C1697&amp;"-"&amp;TEXT(COUNTIFS($A$2:$A1697,$A1697,$C$2:$C1697,$C1697),"000")</f>
        <v>F3-RESDAL-105</v>
      </c>
      <c r="E1697" s="7" t="s">
        <v>1757</v>
      </c>
      <c r="F1697" s="7" t="s">
        <v>1680</v>
      </c>
      <c r="G1697" s="7" t="s">
        <v>3</v>
      </c>
    </row>
    <row r="1698" spans="1:7">
      <c r="A1698" s="7" t="s">
        <v>1006</v>
      </c>
      <c r="B1698" s="7" t="s">
        <v>44</v>
      </c>
      <c r="C1698" s="7" t="str">
        <f>VLOOKUP(B1698,Indice!$B$1:$C$22,2,0)</f>
        <v>RESDAL</v>
      </c>
      <c r="D1698" s="7" t="str">
        <f>$A1698&amp;"-"&amp;$C1698&amp;"-"&amp;TEXT(COUNTIFS($A$2:$A1698,$A1698,$C$2:$C1698,$C1698),"000")</f>
        <v>F3-RESDAL-106</v>
      </c>
      <c r="E1698" s="7" t="s">
        <v>1758</v>
      </c>
      <c r="F1698" s="7" t="s">
        <v>1680</v>
      </c>
      <c r="G1698" s="7" t="s">
        <v>3</v>
      </c>
    </row>
    <row r="1699" spans="1:7">
      <c r="A1699" s="7" t="s">
        <v>1006</v>
      </c>
      <c r="B1699" s="7" t="s">
        <v>44</v>
      </c>
      <c r="C1699" s="7" t="str">
        <f>VLOOKUP(B1699,Indice!$B$1:$C$22,2,0)</f>
        <v>RESDAL</v>
      </c>
      <c r="D1699" s="7" t="str">
        <f>$A1699&amp;"-"&amp;$C1699&amp;"-"&amp;TEXT(COUNTIFS($A$2:$A1699,$A1699,$C$2:$C1699,$C1699),"000")</f>
        <v>F3-RESDAL-107</v>
      </c>
      <c r="E1699" s="7" t="s">
        <v>1759</v>
      </c>
      <c r="F1699" s="7" t="s">
        <v>1680</v>
      </c>
      <c r="G1699" s="7" t="s">
        <v>3</v>
      </c>
    </row>
    <row r="1700" spans="1:7">
      <c r="A1700" s="7" t="s">
        <v>1006</v>
      </c>
      <c r="B1700" s="7" t="s">
        <v>45</v>
      </c>
      <c r="C1700" s="7" t="str">
        <f>VLOOKUP(B1700,Indice!$B$1:$C$22,2,0)</f>
        <v>SIPRI</v>
      </c>
      <c r="D1700" s="7" t="str">
        <f>$A1700&amp;"-"&amp;$C1700&amp;"-"&amp;TEXT(COUNTIFS($A$2:$A1700,$A1700,$C$2:$C1700,$C1700),"000")</f>
        <v>F3-SIPRI-001</v>
      </c>
      <c r="E1700" s="7" t="s">
        <v>1760</v>
      </c>
      <c r="F1700" s="7" t="s">
        <v>1761</v>
      </c>
      <c r="G1700" s="7" t="s">
        <v>3</v>
      </c>
    </row>
    <row r="1701" spans="1:7">
      <c r="A1701" s="7" t="s">
        <v>1006</v>
      </c>
      <c r="B1701" s="7" t="s">
        <v>45</v>
      </c>
      <c r="C1701" s="7" t="str">
        <f>VLOOKUP(B1701,Indice!$B$1:$C$22,2,0)</f>
        <v>SIPRI</v>
      </c>
      <c r="D1701" s="7" t="str">
        <f>$A1701&amp;"-"&amp;$C1701&amp;"-"&amp;TEXT(COUNTIFS($A$2:$A1701,$A1701,$C$2:$C1701,$C1701),"000")</f>
        <v>F3-SIPRI-002</v>
      </c>
      <c r="E1701" s="7" t="s">
        <v>1762</v>
      </c>
      <c r="F1701" s="7" t="s">
        <v>1761</v>
      </c>
      <c r="G1701" s="7" t="s">
        <v>3</v>
      </c>
    </row>
    <row r="1702" spans="1:7">
      <c r="A1702" s="7" t="s">
        <v>1006</v>
      </c>
      <c r="B1702" s="7" t="s">
        <v>45</v>
      </c>
      <c r="C1702" s="7" t="str">
        <f>VLOOKUP(B1702,Indice!$B$1:$C$22,2,0)</f>
        <v>SIPRI</v>
      </c>
      <c r="D1702" s="7" t="str">
        <f>$A1702&amp;"-"&amp;$C1702&amp;"-"&amp;TEXT(COUNTIFS($A$2:$A1702,$A1702,$C$2:$C1702,$C1702),"000")</f>
        <v>F3-SIPRI-003</v>
      </c>
      <c r="E1702" s="7" t="s">
        <v>1763</v>
      </c>
      <c r="F1702" s="7" t="s">
        <v>1761</v>
      </c>
      <c r="G1702" s="7" t="s">
        <v>3</v>
      </c>
    </row>
    <row r="1703" spans="1:7">
      <c r="A1703" s="7" t="s">
        <v>1006</v>
      </c>
      <c r="B1703" s="7" t="s">
        <v>45</v>
      </c>
      <c r="C1703" s="7" t="str">
        <f>VLOOKUP(B1703,Indice!$B$1:$C$22,2,0)</f>
        <v>SIPRI</v>
      </c>
      <c r="D1703" s="7" t="str">
        <f>$A1703&amp;"-"&amp;$C1703&amp;"-"&amp;TEXT(COUNTIFS($A$2:$A1703,$A1703,$C$2:$C1703,$C1703),"000")</f>
        <v>F3-SIPRI-004</v>
      </c>
      <c r="E1703" s="7" t="s">
        <v>1764</v>
      </c>
      <c r="F1703" s="7" t="s">
        <v>1761</v>
      </c>
      <c r="G1703" s="7" t="s">
        <v>3</v>
      </c>
    </row>
    <row r="1704" spans="1:7">
      <c r="A1704" s="7" t="s">
        <v>1006</v>
      </c>
      <c r="B1704" s="7" t="s">
        <v>45</v>
      </c>
      <c r="C1704" s="7" t="str">
        <f>VLOOKUP(B1704,Indice!$B$1:$C$22,2,0)</f>
        <v>SIPRI</v>
      </c>
      <c r="D1704" s="7" t="str">
        <f>$A1704&amp;"-"&amp;$C1704&amp;"-"&amp;TEXT(COUNTIFS($A$2:$A1704,$A1704,$C$2:$C1704,$C1704),"000")</f>
        <v>F3-SIPRI-005</v>
      </c>
      <c r="E1704" s="7" t="s">
        <v>1765</v>
      </c>
      <c r="F1704" s="7" t="s">
        <v>1761</v>
      </c>
      <c r="G1704" s="7" t="s">
        <v>3</v>
      </c>
    </row>
    <row r="1705" spans="1:7">
      <c r="A1705" s="7" t="s">
        <v>1006</v>
      </c>
      <c r="B1705" s="7" t="s">
        <v>45</v>
      </c>
      <c r="C1705" s="7" t="str">
        <f>VLOOKUP(B1705,Indice!$B$1:$C$22,2,0)</f>
        <v>SIPRI</v>
      </c>
      <c r="D1705" s="7" t="str">
        <f>$A1705&amp;"-"&amp;$C1705&amp;"-"&amp;TEXT(COUNTIFS($A$2:$A1705,$A1705,$C$2:$C1705,$C1705),"000")</f>
        <v>F3-SIPRI-006</v>
      </c>
      <c r="E1705" s="7" t="s">
        <v>1766</v>
      </c>
      <c r="F1705" s="7" t="s">
        <v>1761</v>
      </c>
      <c r="G1705" s="7" t="s">
        <v>3</v>
      </c>
    </row>
    <row r="1706" spans="1:7">
      <c r="A1706" s="7" t="s">
        <v>1006</v>
      </c>
      <c r="B1706" s="7" t="s">
        <v>45</v>
      </c>
      <c r="C1706" s="7" t="str">
        <f>VLOOKUP(B1706,Indice!$B$1:$C$22,2,0)</f>
        <v>SIPRI</v>
      </c>
      <c r="D1706" s="7" t="str">
        <f>$A1706&amp;"-"&amp;$C1706&amp;"-"&amp;TEXT(COUNTIFS($A$2:$A1706,$A1706,$C$2:$C1706,$C1706),"000")</f>
        <v>F3-SIPRI-007</v>
      </c>
      <c r="E1706" s="7" t="s">
        <v>1767</v>
      </c>
      <c r="F1706" s="7" t="s">
        <v>1761</v>
      </c>
      <c r="G1706" s="7" t="s">
        <v>3</v>
      </c>
    </row>
    <row r="1707" spans="1:7">
      <c r="A1707" s="7" t="s">
        <v>1006</v>
      </c>
      <c r="B1707" s="7" t="s">
        <v>45</v>
      </c>
      <c r="C1707" s="7" t="str">
        <f>VLOOKUP(B1707,Indice!$B$1:$C$22,2,0)</f>
        <v>SIPRI</v>
      </c>
      <c r="D1707" s="7" t="str">
        <f>$A1707&amp;"-"&amp;$C1707&amp;"-"&amp;TEXT(COUNTIFS($A$2:$A1707,$A1707,$C$2:$C1707,$C1707),"000")</f>
        <v>F3-SIPRI-008</v>
      </c>
      <c r="E1707" s="7" t="s">
        <v>1768</v>
      </c>
      <c r="F1707" s="7" t="s">
        <v>1761</v>
      </c>
      <c r="G1707" s="7" t="s">
        <v>3</v>
      </c>
    </row>
    <row r="1708" spans="1:7">
      <c r="A1708" s="7" t="s">
        <v>1006</v>
      </c>
      <c r="B1708" s="7" t="s">
        <v>45</v>
      </c>
      <c r="C1708" s="7" t="str">
        <f>VLOOKUP(B1708,Indice!$B$1:$C$22,2,0)</f>
        <v>SIPRI</v>
      </c>
      <c r="D1708" s="7" t="str">
        <f>$A1708&amp;"-"&amp;$C1708&amp;"-"&amp;TEXT(COUNTIFS($A$2:$A1708,$A1708,$C$2:$C1708,$C1708),"000")</f>
        <v>F3-SIPRI-009</v>
      </c>
      <c r="E1708" s="7" t="s">
        <v>1769</v>
      </c>
      <c r="F1708" s="7" t="s">
        <v>1770</v>
      </c>
      <c r="G1708" s="7" t="s">
        <v>3</v>
      </c>
    </row>
    <row r="1709" spans="1:7">
      <c r="A1709" s="7" t="s">
        <v>1006</v>
      </c>
      <c r="B1709" s="7" t="s">
        <v>45</v>
      </c>
      <c r="C1709" s="7" t="str">
        <f>VLOOKUP(B1709,Indice!$B$1:$C$22,2,0)</f>
        <v>SIPRI</v>
      </c>
      <c r="D1709" s="7" t="str">
        <f>$A1709&amp;"-"&amp;$C1709&amp;"-"&amp;TEXT(COUNTIFS($A$2:$A1709,$A1709,$C$2:$C1709,$C1709),"000")</f>
        <v>F3-SIPRI-010</v>
      </c>
      <c r="E1709" s="7" t="s">
        <v>1771</v>
      </c>
      <c r="F1709" s="7" t="s">
        <v>1770</v>
      </c>
      <c r="G1709" s="7" t="s">
        <v>3</v>
      </c>
    </row>
    <row r="1710" spans="1:7">
      <c r="A1710" s="7" t="s">
        <v>1006</v>
      </c>
      <c r="B1710" s="7" t="s">
        <v>45</v>
      </c>
      <c r="C1710" s="7" t="str">
        <f>VLOOKUP(B1710,Indice!$B$1:$C$22,2,0)</f>
        <v>SIPRI</v>
      </c>
      <c r="D1710" s="7" t="str">
        <f>$A1710&amp;"-"&amp;$C1710&amp;"-"&amp;TEXT(COUNTIFS($A$2:$A1710,$A1710,$C$2:$C1710,$C1710),"000")</f>
        <v>F3-SIPRI-011</v>
      </c>
      <c r="E1710" s="7" t="s">
        <v>1772</v>
      </c>
      <c r="F1710" s="7" t="s">
        <v>1770</v>
      </c>
      <c r="G1710" s="7" t="s">
        <v>3</v>
      </c>
    </row>
    <row r="1711" spans="1:7">
      <c r="A1711" s="7" t="s">
        <v>1006</v>
      </c>
      <c r="B1711" s="7" t="s">
        <v>45</v>
      </c>
      <c r="C1711" s="7" t="str">
        <f>VLOOKUP(B1711,Indice!$B$1:$C$22,2,0)</f>
        <v>SIPRI</v>
      </c>
      <c r="D1711" s="7" t="str">
        <f>$A1711&amp;"-"&amp;$C1711&amp;"-"&amp;TEXT(COUNTIFS($A$2:$A1711,$A1711,$C$2:$C1711,$C1711),"000")</f>
        <v>F3-SIPRI-012</v>
      </c>
      <c r="E1711" s="7" t="s">
        <v>1773</v>
      </c>
      <c r="F1711" s="7" t="s">
        <v>1770</v>
      </c>
      <c r="G1711" s="7" t="s">
        <v>3</v>
      </c>
    </row>
    <row r="1712" spans="1:7">
      <c r="A1712" s="7" t="s">
        <v>1006</v>
      </c>
      <c r="B1712" s="7" t="s">
        <v>45</v>
      </c>
      <c r="C1712" s="7" t="str">
        <f>VLOOKUP(B1712,Indice!$B$1:$C$22,2,0)</f>
        <v>SIPRI</v>
      </c>
      <c r="D1712" s="7" t="str">
        <f>$A1712&amp;"-"&amp;$C1712&amp;"-"&amp;TEXT(COUNTIFS($A$2:$A1712,$A1712,$C$2:$C1712,$C1712),"000")</f>
        <v>F3-SIPRI-013</v>
      </c>
      <c r="E1712" s="7" t="s">
        <v>1774</v>
      </c>
      <c r="F1712" s="7" t="s">
        <v>1770</v>
      </c>
      <c r="G1712" s="7" t="s">
        <v>3</v>
      </c>
    </row>
    <row r="1713" spans="1:7">
      <c r="A1713" s="7" t="s">
        <v>1006</v>
      </c>
      <c r="B1713" s="7" t="s">
        <v>45</v>
      </c>
      <c r="C1713" s="7" t="str">
        <f>VLOOKUP(B1713,Indice!$B$1:$C$22,2,0)</f>
        <v>SIPRI</v>
      </c>
      <c r="D1713" s="7" t="str">
        <f>$A1713&amp;"-"&amp;$C1713&amp;"-"&amp;TEXT(COUNTIFS($A$2:$A1713,$A1713,$C$2:$C1713,$C1713),"000")</f>
        <v>F3-SIPRI-014</v>
      </c>
      <c r="E1713" s="7" t="s">
        <v>1775</v>
      </c>
      <c r="F1713" s="7" t="s">
        <v>1776</v>
      </c>
      <c r="G1713" s="7" t="s">
        <v>3</v>
      </c>
    </row>
    <row r="1714" spans="1:7">
      <c r="A1714" s="7" t="s">
        <v>1006</v>
      </c>
      <c r="B1714" s="7" t="s">
        <v>45</v>
      </c>
      <c r="C1714" s="7" t="str">
        <f>VLOOKUP(B1714,Indice!$B$1:$C$22,2,0)</f>
        <v>SIPRI</v>
      </c>
      <c r="D1714" s="7" t="str">
        <f>$A1714&amp;"-"&amp;$C1714&amp;"-"&amp;TEXT(COUNTIFS($A$2:$A1714,$A1714,$C$2:$C1714,$C1714),"000")</f>
        <v>F3-SIPRI-015</v>
      </c>
      <c r="E1714" s="7" t="s">
        <v>1777</v>
      </c>
      <c r="F1714" s="7" t="s">
        <v>1778</v>
      </c>
      <c r="G1714" s="7" t="s">
        <v>4</v>
      </c>
    </row>
    <row r="1715" spans="1:7">
      <c r="A1715" s="7" t="s">
        <v>1006</v>
      </c>
      <c r="B1715" s="7" t="s">
        <v>45</v>
      </c>
      <c r="C1715" s="7" t="str">
        <f>VLOOKUP(B1715,Indice!$B$1:$C$22,2,0)</f>
        <v>SIPRI</v>
      </c>
      <c r="D1715" s="7" t="str">
        <f>$A1715&amp;"-"&amp;$C1715&amp;"-"&amp;TEXT(COUNTIFS($A$2:$A1715,$A1715,$C$2:$C1715,$C1715),"000")</f>
        <v>F3-SIPRI-016</v>
      </c>
      <c r="E1715" s="7" t="s">
        <v>1779</v>
      </c>
      <c r="F1715" s="7" t="s">
        <v>1776</v>
      </c>
      <c r="G1715" s="7" t="s">
        <v>3</v>
      </c>
    </row>
    <row r="1716" spans="1:7">
      <c r="A1716" s="7" t="s">
        <v>1006</v>
      </c>
      <c r="B1716" s="7" t="s">
        <v>45</v>
      </c>
      <c r="C1716" s="7" t="str">
        <f>VLOOKUP(B1716,Indice!$B$1:$C$22,2,0)</f>
        <v>SIPRI</v>
      </c>
      <c r="D1716" s="7" t="str">
        <f>$A1716&amp;"-"&amp;$C1716&amp;"-"&amp;TEXT(COUNTIFS($A$2:$A1716,$A1716,$C$2:$C1716,$C1716),"000")</f>
        <v>F3-SIPRI-017</v>
      </c>
      <c r="E1716" s="7" t="s">
        <v>1780</v>
      </c>
      <c r="F1716" s="7" t="s">
        <v>1778</v>
      </c>
      <c r="G1716" s="7" t="s">
        <v>4</v>
      </c>
    </row>
    <row r="1717" spans="1:7">
      <c r="A1717" s="7" t="s">
        <v>1006</v>
      </c>
      <c r="B1717" s="7" t="s">
        <v>45</v>
      </c>
      <c r="C1717" s="7" t="str">
        <f>VLOOKUP(B1717,Indice!$B$1:$C$22,2,0)</f>
        <v>SIPRI</v>
      </c>
      <c r="D1717" s="7" t="str">
        <f>$A1717&amp;"-"&amp;$C1717&amp;"-"&amp;TEXT(COUNTIFS($A$2:$A1717,$A1717,$C$2:$C1717,$C1717),"000")</f>
        <v>F3-SIPRI-018</v>
      </c>
      <c r="E1717" s="7" t="s">
        <v>1781</v>
      </c>
      <c r="F1717" s="7" t="s">
        <v>1778</v>
      </c>
      <c r="G1717" s="7" t="s">
        <v>4</v>
      </c>
    </row>
    <row r="1718" spans="1:7">
      <c r="A1718" s="7" t="s">
        <v>1006</v>
      </c>
      <c r="B1718" s="7" t="s">
        <v>45</v>
      </c>
      <c r="C1718" s="7" t="str">
        <f>VLOOKUP(B1718,Indice!$B$1:$C$22,2,0)</f>
        <v>SIPRI</v>
      </c>
      <c r="D1718" s="7" t="str">
        <f>$A1718&amp;"-"&amp;$C1718&amp;"-"&amp;TEXT(COUNTIFS($A$2:$A1718,$A1718,$C$2:$C1718,$C1718),"000")</f>
        <v>F3-SIPRI-019</v>
      </c>
      <c r="E1718" s="7" t="s">
        <v>1782</v>
      </c>
      <c r="F1718" s="7" t="s">
        <v>1778</v>
      </c>
      <c r="G1718" s="7" t="s">
        <v>4</v>
      </c>
    </row>
    <row r="1719" spans="1:7">
      <c r="A1719" s="7" t="s">
        <v>1006</v>
      </c>
      <c r="B1719" s="7" t="s">
        <v>45</v>
      </c>
      <c r="C1719" s="7" t="str">
        <f>VLOOKUP(B1719,Indice!$B$1:$C$22,2,0)</f>
        <v>SIPRI</v>
      </c>
      <c r="D1719" s="7" t="str">
        <f>$A1719&amp;"-"&amp;$C1719&amp;"-"&amp;TEXT(COUNTIFS($A$2:$A1719,$A1719,$C$2:$C1719,$C1719),"000")</f>
        <v>F3-SIPRI-020</v>
      </c>
      <c r="E1719" s="7" t="s">
        <v>1783</v>
      </c>
      <c r="F1719" s="7" t="s">
        <v>1770</v>
      </c>
      <c r="G1719" s="7" t="s">
        <v>3</v>
      </c>
    </row>
    <row r="1720" spans="1:7">
      <c r="A1720" s="7" t="s">
        <v>1006</v>
      </c>
      <c r="B1720" s="7" t="s">
        <v>45</v>
      </c>
      <c r="C1720" s="7" t="str">
        <f>VLOOKUP(B1720,Indice!$B$1:$C$22,2,0)</f>
        <v>SIPRI</v>
      </c>
      <c r="D1720" s="7" t="str">
        <f>$A1720&amp;"-"&amp;$C1720&amp;"-"&amp;TEXT(COUNTIFS($A$2:$A1720,$A1720,$C$2:$C1720,$C1720),"000")</f>
        <v>F3-SIPRI-021</v>
      </c>
      <c r="E1720" s="7" t="s">
        <v>1784</v>
      </c>
      <c r="F1720" s="7" t="s">
        <v>1778</v>
      </c>
      <c r="G1720" s="7" t="s">
        <v>4</v>
      </c>
    </row>
    <row r="1721" spans="1:7">
      <c r="A1721" s="7" t="s">
        <v>1006</v>
      </c>
      <c r="B1721" s="7" t="s">
        <v>45</v>
      </c>
      <c r="C1721" s="7" t="str">
        <f>VLOOKUP(B1721,Indice!$B$1:$C$22,2,0)</f>
        <v>SIPRI</v>
      </c>
      <c r="D1721" s="7" t="str">
        <f>$A1721&amp;"-"&amp;$C1721&amp;"-"&amp;TEXT(COUNTIFS($A$2:$A1721,$A1721,$C$2:$C1721,$C1721),"000")</f>
        <v>F3-SIPRI-022</v>
      </c>
      <c r="E1721" s="7" t="s">
        <v>1785</v>
      </c>
      <c r="F1721" s="7" t="s">
        <v>1770</v>
      </c>
      <c r="G1721" s="7" t="s">
        <v>3</v>
      </c>
    </row>
    <row r="1722" spans="1:7">
      <c r="A1722" s="7" t="s">
        <v>1006</v>
      </c>
      <c r="B1722" s="7" t="s">
        <v>45</v>
      </c>
      <c r="C1722" s="7" t="str">
        <f>VLOOKUP(B1722,Indice!$B$1:$C$22,2,0)</f>
        <v>SIPRI</v>
      </c>
      <c r="D1722" s="7" t="str">
        <f>$A1722&amp;"-"&amp;$C1722&amp;"-"&amp;TEXT(COUNTIFS($A$2:$A1722,$A1722,$C$2:$C1722,$C1722),"000")</f>
        <v>F3-SIPRI-023</v>
      </c>
      <c r="E1722" s="7" t="s">
        <v>1786</v>
      </c>
      <c r="F1722" s="7" t="s">
        <v>1778</v>
      </c>
      <c r="G1722" s="7" t="s">
        <v>4</v>
      </c>
    </row>
    <row r="1723" spans="1:7">
      <c r="A1723" s="7" t="s">
        <v>1006</v>
      </c>
      <c r="B1723" s="7" t="s">
        <v>45</v>
      </c>
      <c r="C1723" s="7" t="str">
        <f>VLOOKUP(B1723,Indice!$B$1:$C$22,2,0)</f>
        <v>SIPRI</v>
      </c>
      <c r="D1723" s="7" t="str">
        <f>$A1723&amp;"-"&amp;$C1723&amp;"-"&amp;TEXT(COUNTIFS($A$2:$A1723,$A1723,$C$2:$C1723,$C1723),"000")</f>
        <v>F3-SIPRI-024</v>
      </c>
      <c r="E1723" s="7" t="s">
        <v>1787</v>
      </c>
      <c r="F1723" s="7" t="s">
        <v>1778</v>
      </c>
      <c r="G1723" s="7" t="s">
        <v>4</v>
      </c>
    </row>
    <row r="1724" spans="1:7">
      <c r="A1724" s="7" t="s">
        <v>1006</v>
      </c>
      <c r="B1724" s="7" t="s">
        <v>45</v>
      </c>
      <c r="C1724" s="7" t="str">
        <f>VLOOKUP(B1724,Indice!$B$1:$C$22,2,0)</f>
        <v>SIPRI</v>
      </c>
      <c r="D1724" s="7" t="str">
        <f>$A1724&amp;"-"&amp;$C1724&amp;"-"&amp;TEXT(COUNTIFS($A$2:$A1724,$A1724,$C$2:$C1724,$C1724),"000")</f>
        <v>F3-SIPRI-025</v>
      </c>
      <c r="E1724" s="7" t="s">
        <v>1788</v>
      </c>
      <c r="F1724" s="7" t="s">
        <v>1778</v>
      </c>
      <c r="G1724" s="7" t="s">
        <v>4</v>
      </c>
    </row>
    <row r="1725" spans="1:7">
      <c r="A1725" s="7" t="s">
        <v>1006</v>
      </c>
      <c r="B1725" s="7" t="s">
        <v>45</v>
      </c>
      <c r="C1725" s="7" t="str">
        <f>VLOOKUP(B1725,Indice!$B$1:$C$22,2,0)</f>
        <v>SIPRI</v>
      </c>
      <c r="D1725" s="7" t="str">
        <f>$A1725&amp;"-"&amp;$C1725&amp;"-"&amp;TEXT(COUNTIFS($A$2:$A1725,$A1725,$C$2:$C1725,$C1725),"000")</f>
        <v>F3-SIPRI-026</v>
      </c>
      <c r="E1725" s="7" t="s">
        <v>1789</v>
      </c>
      <c r="F1725" s="7" t="s">
        <v>1778</v>
      </c>
      <c r="G1725" s="7" t="s">
        <v>4</v>
      </c>
    </row>
    <row r="1726" spans="1:7">
      <c r="A1726" s="7" t="s">
        <v>1006</v>
      </c>
      <c r="B1726" s="7" t="s">
        <v>45</v>
      </c>
      <c r="C1726" s="7" t="str">
        <f>VLOOKUP(B1726,Indice!$B$1:$C$22,2,0)</f>
        <v>SIPRI</v>
      </c>
      <c r="D1726" s="7" t="str">
        <f>$A1726&amp;"-"&amp;$C1726&amp;"-"&amp;TEXT(COUNTIFS($A$2:$A1726,$A1726,$C$2:$C1726,$C1726),"000")</f>
        <v>F3-SIPRI-027</v>
      </c>
      <c r="E1726" s="7" t="s">
        <v>1790</v>
      </c>
      <c r="F1726" s="7" t="s">
        <v>1778</v>
      </c>
      <c r="G1726" s="7" t="s">
        <v>4</v>
      </c>
    </row>
    <row r="1727" spans="1:7">
      <c r="A1727" s="7" t="s">
        <v>1006</v>
      </c>
      <c r="B1727" s="7" t="s">
        <v>45</v>
      </c>
      <c r="C1727" s="7" t="str">
        <f>VLOOKUP(B1727,Indice!$B$1:$C$22,2,0)</f>
        <v>SIPRI</v>
      </c>
      <c r="D1727" s="7" t="str">
        <f>$A1727&amp;"-"&amp;$C1727&amp;"-"&amp;TEXT(COUNTIFS($A$2:$A1727,$A1727,$C$2:$C1727,$C1727),"000")</f>
        <v>F3-SIPRI-028</v>
      </c>
      <c r="E1727" s="7" t="s">
        <v>1791</v>
      </c>
      <c r="F1727" s="7" t="s">
        <v>1778</v>
      </c>
      <c r="G1727" s="7" t="s">
        <v>4</v>
      </c>
    </row>
    <row r="1728" spans="1:7">
      <c r="A1728" s="7" t="s">
        <v>1006</v>
      </c>
      <c r="B1728" s="7" t="s">
        <v>45</v>
      </c>
      <c r="C1728" s="7" t="str">
        <f>VLOOKUP(B1728,Indice!$B$1:$C$22,2,0)</f>
        <v>SIPRI</v>
      </c>
      <c r="D1728" s="7" t="str">
        <f>$A1728&amp;"-"&amp;$C1728&amp;"-"&amp;TEXT(COUNTIFS($A$2:$A1728,$A1728,$C$2:$C1728,$C1728),"000")</f>
        <v>F3-SIPRI-029</v>
      </c>
      <c r="E1728" s="7" t="s">
        <v>1792</v>
      </c>
      <c r="F1728" s="7" t="s">
        <v>1778</v>
      </c>
      <c r="G1728" s="7" t="s">
        <v>4</v>
      </c>
    </row>
    <row r="1729" spans="1:7">
      <c r="A1729" s="7" t="s">
        <v>1006</v>
      </c>
      <c r="B1729" s="7" t="s">
        <v>45</v>
      </c>
      <c r="C1729" s="7" t="str">
        <f>VLOOKUP(B1729,Indice!$B$1:$C$22,2,0)</f>
        <v>SIPRI</v>
      </c>
      <c r="D1729" s="7" t="str">
        <f>$A1729&amp;"-"&amp;$C1729&amp;"-"&amp;TEXT(COUNTIFS($A$2:$A1729,$A1729,$C$2:$C1729,$C1729),"000")</f>
        <v>F3-SIPRI-030</v>
      </c>
      <c r="E1729" s="7" t="s">
        <v>1793</v>
      </c>
      <c r="F1729" s="7" t="s">
        <v>1778</v>
      </c>
      <c r="G1729" s="7" t="s">
        <v>4</v>
      </c>
    </row>
    <row r="1730" spans="1:7">
      <c r="A1730" s="7" t="s">
        <v>1006</v>
      </c>
      <c r="B1730" s="7" t="s">
        <v>45</v>
      </c>
      <c r="C1730" s="7" t="str">
        <f>VLOOKUP(B1730,Indice!$B$1:$C$22,2,0)</f>
        <v>SIPRI</v>
      </c>
      <c r="D1730" s="7" t="str">
        <f>$A1730&amp;"-"&amp;$C1730&amp;"-"&amp;TEXT(COUNTIFS($A$2:$A1730,$A1730,$C$2:$C1730,$C1730),"000")</f>
        <v>F3-SIPRI-031</v>
      </c>
      <c r="E1730" s="7" t="s">
        <v>1794</v>
      </c>
      <c r="F1730" s="7" t="s">
        <v>1778</v>
      </c>
      <c r="G1730" s="7" t="s">
        <v>4</v>
      </c>
    </row>
    <row r="1731" spans="1:7">
      <c r="A1731" s="7" t="s">
        <v>1006</v>
      </c>
      <c r="B1731" s="7" t="s">
        <v>45</v>
      </c>
      <c r="C1731" s="7" t="str">
        <f>VLOOKUP(B1731,Indice!$B$1:$C$22,2,0)</f>
        <v>SIPRI</v>
      </c>
      <c r="D1731" s="7" t="str">
        <f>$A1731&amp;"-"&amp;$C1731&amp;"-"&amp;TEXT(COUNTIFS($A$2:$A1731,$A1731,$C$2:$C1731,$C1731),"000")</f>
        <v>F3-SIPRI-032</v>
      </c>
      <c r="E1731" s="7" t="s">
        <v>1795</v>
      </c>
      <c r="F1731" s="7" t="s">
        <v>1778</v>
      </c>
      <c r="G1731" s="7" t="s">
        <v>4</v>
      </c>
    </row>
    <row r="1732" spans="1:7">
      <c r="A1732" s="7" t="s">
        <v>1006</v>
      </c>
      <c r="B1732" s="7" t="s">
        <v>45</v>
      </c>
      <c r="C1732" s="7" t="str">
        <f>VLOOKUP(B1732,Indice!$B$1:$C$22,2,0)</f>
        <v>SIPRI</v>
      </c>
      <c r="D1732" s="7" t="str">
        <f>$A1732&amp;"-"&amp;$C1732&amp;"-"&amp;TEXT(COUNTIFS($A$2:$A1732,$A1732,$C$2:$C1732,$C1732),"000")</f>
        <v>F3-SIPRI-033</v>
      </c>
      <c r="E1732" s="7" t="s">
        <v>1796</v>
      </c>
      <c r="F1732" s="7" t="s">
        <v>1778</v>
      </c>
      <c r="G1732" s="7" t="s">
        <v>4</v>
      </c>
    </row>
    <row r="1733" spans="1:7">
      <c r="A1733" s="7" t="s">
        <v>1006</v>
      </c>
      <c r="B1733" s="7" t="s">
        <v>45</v>
      </c>
      <c r="C1733" s="7" t="str">
        <f>VLOOKUP(B1733,Indice!$B$1:$C$22,2,0)</f>
        <v>SIPRI</v>
      </c>
      <c r="D1733" s="7" t="str">
        <f>$A1733&amp;"-"&amp;$C1733&amp;"-"&amp;TEXT(COUNTIFS($A$2:$A1733,$A1733,$C$2:$C1733,$C1733),"000")</f>
        <v>F3-SIPRI-034</v>
      </c>
      <c r="E1733" s="7" t="s">
        <v>1797</v>
      </c>
      <c r="F1733" s="7" t="s">
        <v>1778</v>
      </c>
      <c r="G1733" s="7" t="s">
        <v>4</v>
      </c>
    </row>
    <row r="1734" spans="1:7">
      <c r="A1734" s="7" t="s">
        <v>1006</v>
      </c>
      <c r="B1734" s="7" t="s">
        <v>45</v>
      </c>
      <c r="C1734" s="7" t="str">
        <f>VLOOKUP(B1734,Indice!$B$1:$C$22,2,0)</f>
        <v>SIPRI</v>
      </c>
      <c r="D1734" s="7" t="str">
        <f>$A1734&amp;"-"&amp;$C1734&amp;"-"&amp;TEXT(COUNTIFS($A$2:$A1734,$A1734,$C$2:$C1734,$C1734),"000")</f>
        <v>F3-SIPRI-035</v>
      </c>
      <c r="E1734" s="7" t="s">
        <v>1798</v>
      </c>
      <c r="F1734" s="7" t="s">
        <v>1778</v>
      </c>
      <c r="G1734" s="7" t="s">
        <v>4</v>
      </c>
    </row>
    <row r="1735" spans="1:7">
      <c r="A1735" s="7" t="s">
        <v>1006</v>
      </c>
      <c r="B1735" s="7" t="s">
        <v>45</v>
      </c>
      <c r="C1735" s="7" t="str">
        <f>VLOOKUP(B1735,Indice!$B$1:$C$22,2,0)</f>
        <v>SIPRI</v>
      </c>
      <c r="D1735" s="7" t="str">
        <f>$A1735&amp;"-"&amp;$C1735&amp;"-"&amp;TEXT(COUNTIFS($A$2:$A1735,$A1735,$C$2:$C1735,$C1735),"000")</f>
        <v>F3-SIPRI-036</v>
      </c>
      <c r="E1735" s="7" t="s">
        <v>1799</v>
      </c>
      <c r="F1735" s="7" t="s">
        <v>1778</v>
      </c>
      <c r="G1735" s="7" t="s">
        <v>4</v>
      </c>
    </row>
    <row r="1736" spans="1:7">
      <c r="A1736" s="7" t="s">
        <v>1006</v>
      </c>
      <c r="B1736" s="7" t="s">
        <v>45</v>
      </c>
      <c r="C1736" s="7" t="str">
        <f>VLOOKUP(B1736,Indice!$B$1:$C$22,2,0)</f>
        <v>SIPRI</v>
      </c>
      <c r="D1736" s="7" t="str">
        <f>$A1736&amp;"-"&amp;$C1736&amp;"-"&amp;TEXT(COUNTIFS($A$2:$A1736,$A1736,$C$2:$C1736,$C1736),"000")</f>
        <v>F3-SIPRI-037</v>
      </c>
      <c r="E1736" s="7" t="s">
        <v>1800</v>
      </c>
      <c r="F1736" s="7" t="s">
        <v>1778</v>
      </c>
      <c r="G1736" s="7" t="s">
        <v>4</v>
      </c>
    </row>
    <row r="1737" spans="1:7">
      <c r="A1737" s="7" t="s">
        <v>1006</v>
      </c>
      <c r="B1737" s="7" t="s">
        <v>45</v>
      </c>
      <c r="C1737" s="7" t="str">
        <f>VLOOKUP(B1737,Indice!$B$1:$C$22,2,0)</f>
        <v>SIPRI</v>
      </c>
      <c r="D1737" s="7" t="str">
        <f>$A1737&amp;"-"&amp;$C1737&amp;"-"&amp;TEXT(COUNTIFS($A$2:$A1737,$A1737,$C$2:$C1737,$C1737),"000")</f>
        <v>F3-SIPRI-038</v>
      </c>
      <c r="E1737" s="7" t="s">
        <v>1801</v>
      </c>
      <c r="F1737" s="7" t="s">
        <v>1778</v>
      </c>
      <c r="G1737" s="7" t="s">
        <v>4</v>
      </c>
    </row>
    <row r="1738" spans="1:7">
      <c r="A1738" s="7" t="s">
        <v>1006</v>
      </c>
      <c r="B1738" s="7" t="s">
        <v>45</v>
      </c>
      <c r="C1738" s="7" t="str">
        <f>VLOOKUP(B1738,Indice!$B$1:$C$22,2,0)</f>
        <v>SIPRI</v>
      </c>
      <c r="D1738" s="7" t="str">
        <f>$A1738&amp;"-"&amp;$C1738&amp;"-"&amp;TEXT(COUNTIFS($A$2:$A1738,$A1738,$C$2:$C1738,$C1738),"000")</f>
        <v>F3-SIPRI-039</v>
      </c>
      <c r="E1738" s="7" t="s">
        <v>1802</v>
      </c>
      <c r="F1738" s="7" t="s">
        <v>1778</v>
      </c>
      <c r="G1738" s="7" t="s">
        <v>4</v>
      </c>
    </row>
    <row r="1739" spans="1:7">
      <c r="A1739" s="7" t="s">
        <v>1006</v>
      </c>
      <c r="B1739" s="7" t="s">
        <v>45</v>
      </c>
      <c r="C1739" s="7" t="str">
        <f>VLOOKUP(B1739,Indice!$B$1:$C$22,2,0)</f>
        <v>SIPRI</v>
      </c>
      <c r="D1739" s="7" t="str">
        <f>$A1739&amp;"-"&amp;$C1739&amp;"-"&amp;TEXT(COUNTIFS($A$2:$A1739,$A1739,$C$2:$C1739,$C1739),"000")</f>
        <v>F3-SIPRI-040</v>
      </c>
      <c r="E1739" s="7" t="s">
        <v>1803</v>
      </c>
      <c r="F1739" s="7" t="s">
        <v>1778</v>
      </c>
      <c r="G1739" s="7" t="s">
        <v>4</v>
      </c>
    </row>
    <row r="1740" spans="1:7">
      <c r="A1740" s="7" t="s">
        <v>1006</v>
      </c>
      <c r="B1740" s="7" t="s">
        <v>45</v>
      </c>
      <c r="C1740" s="7" t="str">
        <f>VLOOKUP(B1740,Indice!$B$1:$C$22,2,0)</f>
        <v>SIPRI</v>
      </c>
      <c r="D1740" s="7" t="str">
        <f>$A1740&amp;"-"&amp;$C1740&amp;"-"&amp;TEXT(COUNTIFS($A$2:$A1740,$A1740,$C$2:$C1740,$C1740),"000")</f>
        <v>F3-SIPRI-041</v>
      </c>
      <c r="E1740" s="7" t="s">
        <v>1804</v>
      </c>
      <c r="F1740" s="7" t="s">
        <v>1778</v>
      </c>
      <c r="G1740" s="7" t="s">
        <v>4</v>
      </c>
    </row>
    <row r="1741" spans="1:7">
      <c r="A1741" s="7" t="s">
        <v>1006</v>
      </c>
      <c r="B1741" s="7" t="s">
        <v>45</v>
      </c>
      <c r="C1741" s="7" t="str">
        <f>VLOOKUP(B1741,Indice!$B$1:$C$22,2,0)</f>
        <v>SIPRI</v>
      </c>
      <c r="D1741" s="7" t="str">
        <f>$A1741&amp;"-"&amp;$C1741&amp;"-"&amp;TEXT(COUNTIFS($A$2:$A1741,$A1741,$C$2:$C1741,$C1741),"000")</f>
        <v>F3-SIPRI-042</v>
      </c>
      <c r="E1741" s="7" t="s">
        <v>1805</v>
      </c>
      <c r="F1741" s="7" t="s">
        <v>1778</v>
      </c>
      <c r="G1741" s="7" t="s">
        <v>4</v>
      </c>
    </row>
    <row r="1742" spans="1:7">
      <c r="A1742" s="7" t="s">
        <v>1006</v>
      </c>
      <c r="B1742" s="7" t="s">
        <v>45</v>
      </c>
      <c r="C1742" s="7" t="str">
        <f>VLOOKUP(B1742,Indice!$B$1:$C$22,2,0)</f>
        <v>SIPRI</v>
      </c>
      <c r="D1742" s="7" t="str">
        <f>$A1742&amp;"-"&amp;$C1742&amp;"-"&amp;TEXT(COUNTIFS($A$2:$A1742,$A1742,$C$2:$C1742,$C1742),"000")</f>
        <v>F3-SIPRI-043</v>
      </c>
      <c r="E1742" s="7" t="s">
        <v>1806</v>
      </c>
      <c r="F1742" s="7" t="s">
        <v>1778</v>
      </c>
      <c r="G1742" s="7" t="s">
        <v>4</v>
      </c>
    </row>
    <row r="1743" spans="1:7">
      <c r="A1743" s="7" t="s">
        <v>1006</v>
      </c>
      <c r="B1743" s="7" t="s">
        <v>45</v>
      </c>
      <c r="C1743" s="7" t="str">
        <f>VLOOKUP(B1743,Indice!$B$1:$C$22,2,0)</f>
        <v>SIPRI</v>
      </c>
      <c r="D1743" s="7" t="str">
        <f>$A1743&amp;"-"&amp;$C1743&amp;"-"&amp;TEXT(COUNTIFS($A$2:$A1743,$A1743,$C$2:$C1743,$C1743),"000")</f>
        <v>F3-SIPRI-044</v>
      </c>
      <c r="E1743" s="7" t="s">
        <v>1807</v>
      </c>
      <c r="F1743" s="7" t="s">
        <v>1778</v>
      </c>
      <c r="G1743" s="7" t="s">
        <v>4</v>
      </c>
    </row>
    <row r="1744" spans="1:7">
      <c r="A1744" s="7" t="s">
        <v>1006</v>
      </c>
      <c r="B1744" s="7" t="s">
        <v>45</v>
      </c>
      <c r="C1744" s="7" t="str">
        <f>VLOOKUP(B1744,Indice!$B$1:$C$22,2,0)</f>
        <v>SIPRI</v>
      </c>
      <c r="D1744" s="7" t="str">
        <f>$A1744&amp;"-"&amp;$C1744&amp;"-"&amp;TEXT(COUNTIFS($A$2:$A1744,$A1744,$C$2:$C1744,$C1744),"000")</f>
        <v>F3-SIPRI-045</v>
      </c>
      <c r="E1744" s="7" t="s">
        <v>1808</v>
      </c>
      <c r="F1744" s="7" t="s">
        <v>1778</v>
      </c>
      <c r="G1744" s="7" t="s">
        <v>4</v>
      </c>
    </row>
    <row r="1745" spans="1:7">
      <c r="A1745" s="7" t="s">
        <v>1006</v>
      </c>
      <c r="B1745" s="7" t="s">
        <v>45</v>
      </c>
      <c r="C1745" s="7" t="str">
        <f>VLOOKUP(B1745,Indice!$B$1:$C$22,2,0)</f>
        <v>SIPRI</v>
      </c>
      <c r="D1745" s="7" t="str">
        <f>$A1745&amp;"-"&amp;$C1745&amp;"-"&amp;TEXT(COUNTIFS($A$2:$A1745,$A1745,$C$2:$C1745,$C1745),"000")</f>
        <v>F3-SIPRI-046</v>
      </c>
      <c r="E1745" s="7" t="s">
        <v>1809</v>
      </c>
      <c r="F1745" s="7" t="s">
        <v>1770</v>
      </c>
      <c r="G1745" s="7" t="s">
        <v>3</v>
      </c>
    </row>
    <row r="1746" spans="1:7">
      <c r="A1746" s="7" t="s">
        <v>1006</v>
      </c>
      <c r="B1746" s="7" t="s">
        <v>45</v>
      </c>
      <c r="C1746" s="7" t="str">
        <f>VLOOKUP(B1746,Indice!$B$1:$C$22,2,0)</f>
        <v>SIPRI</v>
      </c>
      <c r="D1746" s="7" t="str">
        <f>$A1746&amp;"-"&amp;$C1746&amp;"-"&amp;TEXT(COUNTIFS($A$2:$A1746,$A1746,$C$2:$C1746,$C1746),"000")</f>
        <v>F3-SIPRI-047</v>
      </c>
      <c r="E1746" s="7" t="s">
        <v>1810</v>
      </c>
      <c r="F1746" s="7" t="s">
        <v>1761</v>
      </c>
      <c r="G1746" s="7" t="s">
        <v>3</v>
      </c>
    </row>
    <row r="1747" spans="1:7">
      <c r="A1747" s="7" t="s">
        <v>1006</v>
      </c>
      <c r="B1747" s="7" t="s">
        <v>45</v>
      </c>
      <c r="C1747" s="7" t="str">
        <f>VLOOKUP(B1747,Indice!$B$1:$C$22,2,0)</f>
        <v>SIPRI</v>
      </c>
      <c r="D1747" s="7" t="str">
        <f>$A1747&amp;"-"&amp;$C1747&amp;"-"&amp;TEXT(COUNTIFS($A$2:$A1747,$A1747,$C$2:$C1747,$C1747),"000")</f>
        <v>F3-SIPRI-048</v>
      </c>
      <c r="E1747" s="7" t="s">
        <v>1811</v>
      </c>
      <c r="F1747" s="7" t="s">
        <v>1778</v>
      </c>
      <c r="G1747" s="7" t="s">
        <v>4</v>
      </c>
    </row>
    <row r="1748" spans="1:7">
      <c r="A1748" s="7" t="s">
        <v>1006</v>
      </c>
      <c r="B1748" s="7" t="s">
        <v>45</v>
      </c>
      <c r="C1748" s="7" t="str">
        <f>VLOOKUP(B1748,Indice!$B$1:$C$22,2,0)</f>
        <v>SIPRI</v>
      </c>
      <c r="D1748" s="7" t="str">
        <f>$A1748&amp;"-"&amp;$C1748&amp;"-"&amp;TEXT(COUNTIFS($A$2:$A1748,$A1748,$C$2:$C1748,$C1748),"000")</f>
        <v>F3-SIPRI-049</v>
      </c>
      <c r="E1748" s="7" t="s">
        <v>1812</v>
      </c>
      <c r="F1748" s="7" t="s">
        <v>1778</v>
      </c>
      <c r="G1748" s="7" t="s">
        <v>4</v>
      </c>
    </row>
    <row r="1749" spans="1:7">
      <c r="A1749" s="7" t="s">
        <v>1006</v>
      </c>
      <c r="B1749" s="7" t="s">
        <v>45</v>
      </c>
      <c r="C1749" s="7" t="str">
        <f>VLOOKUP(B1749,Indice!$B$1:$C$22,2,0)</f>
        <v>SIPRI</v>
      </c>
      <c r="D1749" s="7" t="str">
        <f>$A1749&amp;"-"&amp;$C1749&amp;"-"&amp;TEXT(COUNTIFS($A$2:$A1749,$A1749,$C$2:$C1749,$C1749),"000")</f>
        <v>F3-SIPRI-050</v>
      </c>
      <c r="E1749" s="7" t="s">
        <v>1813</v>
      </c>
      <c r="F1749" s="7" t="s">
        <v>1778</v>
      </c>
      <c r="G1749" s="7" t="s">
        <v>4</v>
      </c>
    </row>
    <row r="1750" spans="1:7">
      <c r="A1750" s="7" t="s">
        <v>1006</v>
      </c>
      <c r="B1750" s="7" t="s">
        <v>45</v>
      </c>
      <c r="C1750" s="7" t="str">
        <f>VLOOKUP(B1750,Indice!$B$1:$C$22,2,0)</f>
        <v>SIPRI</v>
      </c>
      <c r="D1750" s="7" t="str">
        <f>$A1750&amp;"-"&amp;$C1750&amp;"-"&amp;TEXT(COUNTIFS($A$2:$A1750,$A1750,$C$2:$C1750,$C1750),"000")</f>
        <v>F3-SIPRI-051</v>
      </c>
      <c r="E1750" s="7" t="s">
        <v>1814</v>
      </c>
      <c r="F1750" s="7" t="s">
        <v>1778</v>
      </c>
      <c r="G1750" s="7" t="s">
        <v>4</v>
      </c>
    </row>
    <row r="1751" spans="1:7">
      <c r="A1751" s="7" t="s">
        <v>1006</v>
      </c>
      <c r="B1751" s="7" t="s">
        <v>45</v>
      </c>
      <c r="C1751" s="7" t="str">
        <f>VLOOKUP(B1751,Indice!$B$1:$C$22,2,0)</f>
        <v>SIPRI</v>
      </c>
      <c r="D1751" s="7" t="str">
        <f>$A1751&amp;"-"&amp;$C1751&amp;"-"&amp;TEXT(COUNTIFS($A$2:$A1751,$A1751,$C$2:$C1751,$C1751),"000")</f>
        <v>F3-SIPRI-052</v>
      </c>
      <c r="E1751" s="7" t="s">
        <v>1815</v>
      </c>
      <c r="F1751" s="7" t="s">
        <v>1778</v>
      </c>
      <c r="G1751" s="7" t="s">
        <v>4</v>
      </c>
    </row>
    <row r="1752" spans="1:7">
      <c r="A1752" s="7" t="s">
        <v>1006</v>
      </c>
      <c r="B1752" s="7" t="s">
        <v>45</v>
      </c>
      <c r="C1752" s="7" t="str">
        <f>VLOOKUP(B1752,Indice!$B$1:$C$22,2,0)</f>
        <v>SIPRI</v>
      </c>
      <c r="D1752" s="7" t="str">
        <f>$A1752&amp;"-"&amp;$C1752&amp;"-"&amp;TEXT(COUNTIFS($A$2:$A1752,$A1752,$C$2:$C1752,$C1752),"000")</f>
        <v>F3-SIPRI-053</v>
      </c>
      <c r="E1752" s="7" t="s">
        <v>1816</v>
      </c>
      <c r="F1752" s="7" t="s">
        <v>1778</v>
      </c>
      <c r="G1752" s="7" t="s">
        <v>4</v>
      </c>
    </row>
    <row r="1753" spans="1:7">
      <c r="A1753" s="7" t="s">
        <v>1006</v>
      </c>
      <c r="B1753" s="7" t="s">
        <v>45</v>
      </c>
      <c r="C1753" s="7" t="str">
        <f>VLOOKUP(B1753,Indice!$B$1:$C$22,2,0)</f>
        <v>SIPRI</v>
      </c>
      <c r="D1753" s="7" t="str">
        <f>$A1753&amp;"-"&amp;$C1753&amp;"-"&amp;TEXT(COUNTIFS($A$2:$A1753,$A1753,$C$2:$C1753,$C1753),"000")</f>
        <v>F3-SIPRI-054</v>
      </c>
      <c r="E1753" s="7" t="s">
        <v>1817</v>
      </c>
      <c r="F1753" s="7" t="s">
        <v>1778</v>
      </c>
      <c r="G1753" s="7" t="s">
        <v>4</v>
      </c>
    </row>
    <row r="1754" spans="1:7">
      <c r="A1754" s="7" t="s">
        <v>1006</v>
      </c>
      <c r="B1754" s="7" t="s">
        <v>45</v>
      </c>
      <c r="C1754" s="7" t="str">
        <f>VLOOKUP(B1754,Indice!$B$1:$C$22,2,0)</f>
        <v>SIPRI</v>
      </c>
      <c r="D1754" s="7" t="str">
        <f>$A1754&amp;"-"&amp;$C1754&amp;"-"&amp;TEXT(COUNTIFS($A$2:$A1754,$A1754,$C$2:$C1754,$C1754),"000")</f>
        <v>F3-SIPRI-055</v>
      </c>
      <c r="E1754" s="7" t="s">
        <v>1818</v>
      </c>
      <c r="F1754" s="7" t="s">
        <v>1778</v>
      </c>
      <c r="G1754" s="7" t="s">
        <v>4</v>
      </c>
    </row>
    <row r="1755" spans="1:7">
      <c r="A1755" s="7" t="s">
        <v>1006</v>
      </c>
      <c r="B1755" s="7" t="s">
        <v>45</v>
      </c>
      <c r="C1755" s="7" t="str">
        <f>VLOOKUP(B1755,Indice!$B$1:$C$22,2,0)</f>
        <v>SIPRI</v>
      </c>
      <c r="D1755" s="7" t="str">
        <f>$A1755&amp;"-"&amp;$C1755&amp;"-"&amp;TEXT(COUNTIFS($A$2:$A1755,$A1755,$C$2:$C1755,$C1755),"000")</f>
        <v>F3-SIPRI-056</v>
      </c>
      <c r="E1755" s="7" t="s">
        <v>1819</v>
      </c>
      <c r="F1755" s="7" t="s">
        <v>1778</v>
      </c>
      <c r="G1755" s="7" t="s">
        <v>4</v>
      </c>
    </row>
    <row r="1756" spans="1:7">
      <c r="A1756" s="7" t="s">
        <v>1006</v>
      </c>
      <c r="B1756" s="7" t="s">
        <v>45</v>
      </c>
      <c r="C1756" s="7" t="str">
        <f>VLOOKUP(B1756,Indice!$B$1:$C$22,2,0)</f>
        <v>SIPRI</v>
      </c>
      <c r="D1756" s="7" t="str">
        <f>$A1756&amp;"-"&amp;$C1756&amp;"-"&amp;TEXT(COUNTIFS($A$2:$A1756,$A1756,$C$2:$C1756,$C1756),"000")</f>
        <v>F3-SIPRI-057</v>
      </c>
      <c r="E1756" s="7" t="s">
        <v>1820</v>
      </c>
      <c r="F1756" s="7" t="s">
        <v>1778</v>
      </c>
      <c r="G1756" s="7" t="s">
        <v>4</v>
      </c>
    </row>
    <row r="1757" spans="1:7">
      <c r="A1757" s="7" t="s">
        <v>1006</v>
      </c>
      <c r="B1757" s="7" t="s">
        <v>45</v>
      </c>
      <c r="C1757" s="7" t="str">
        <f>VLOOKUP(B1757,Indice!$B$1:$C$22,2,0)</f>
        <v>SIPRI</v>
      </c>
      <c r="D1757" s="7" t="str">
        <f>$A1757&amp;"-"&amp;$C1757&amp;"-"&amp;TEXT(COUNTIFS($A$2:$A1757,$A1757,$C$2:$C1757,$C1757),"000")</f>
        <v>F3-SIPRI-058</v>
      </c>
      <c r="E1757" s="7" t="s">
        <v>1821</v>
      </c>
      <c r="F1757" s="7" t="s">
        <v>1778</v>
      </c>
      <c r="G1757" s="7" t="s">
        <v>4</v>
      </c>
    </row>
    <row r="1758" spans="1:7">
      <c r="A1758" s="7" t="s">
        <v>1006</v>
      </c>
      <c r="B1758" s="7" t="s">
        <v>45</v>
      </c>
      <c r="C1758" s="7" t="str">
        <f>VLOOKUP(B1758,Indice!$B$1:$C$22,2,0)</f>
        <v>SIPRI</v>
      </c>
      <c r="D1758" s="7" t="str">
        <f>$A1758&amp;"-"&amp;$C1758&amp;"-"&amp;TEXT(COUNTIFS($A$2:$A1758,$A1758,$C$2:$C1758,$C1758),"000")</f>
        <v>F3-SIPRI-059</v>
      </c>
      <c r="E1758" s="7" t="s">
        <v>1822</v>
      </c>
      <c r="F1758" s="7" t="s">
        <v>1778</v>
      </c>
      <c r="G1758" s="7" t="s">
        <v>4</v>
      </c>
    </row>
    <row r="1759" spans="1:7">
      <c r="A1759" s="7" t="s">
        <v>1006</v>
      </c>
      <c r="B1759" s="7" t="s">
        <v>45</v>
      </c>
      <c r="C1759" s="7" t="str">
        <f>VLOOKUP(B1759,Indice!$B$1:$C$22,2,0)</f>
        <v>SIPRI</v>
      </c>
      <c r="D1759" s="7" t="str">
        <f>$A1759&amp;"-"&amp;$C1759&amp;"-"&amp;TEXT(COUNTIFS($A$2:$A1759,$A1759,$C$2:$C1759,$C1759),"000")</f>
        <v>F3-SIPRI-060</v>
      </c>
      <c r="E1759" s="7" t="s">
        <v>1823</v>
      </c>
      <c r="F1759" s="7" t="s">
        <v>1778</v>
      </c>
      <c r="G1759" s="7" t="s">
        <v>4</v>
      </c>
    </row>
    <row r="1760" spans="1:7">
      <c r="A1760" s="7" t="s">
        <v>1006</v>
      </c>
      <c r="B1760" s="7" t="s">
        <v>45</v>
      </c>
      <c r="C1760" s="7" t="str">
        <f>VLOOKUP(B1760,Indice!$B$1:$C$22,2,0)</f>
        <v>SIPRI</v>
      </c>
      <c r="D1760" s="7" t="str">
        <f>$A1760&amp;"-"&amp;$C1760&amp;"-"&amp;TEXT(COUNTIFS($A$2:$A1760,$A1760,$C$2:$C1760,$C1760),"000")</f>
        <v>F3-SIPRI-061</v>
      </c>
      <c r="E1760" s="7" t="s">
        <v>1824</v>
      </c>
      <c r="F1760" s="7" t="s">
        <v>1778</v>
      </c>
      <c r="G1760" s="7" t="s">
        <v>4</v>
      </c>
    </row>
    <row r="1761" spans="1:7">
      <c r="A1761" s="7" t="s">
        <v>1006</v>
      </c>
      <c r="B1761" s="7" t="s">
        <v>45</v>
      </c>
      <c r="C1761" s="7" t="str">
        <f>VLOOKUP(B1761,Indice!$B$1:$C$22,2,0)</f>
        <v>SIPRI</v>
      </c>
      <c r="D1761" s="7" t="str">
        <f>$A1761&amp;"-"&amp;$C1761&amp;"-"&amp;TEXT(COUNTIFS($A$2:$A1761,$A1761,$C$2:$C1761,$C1761),"000")</f>
        <v>F3-SIPRI-062</v>
      </c>
      <c r="E1761" s="7" t="s">
        <v>1825</v>
      </c>
      <c r="F1761" s="7" t="s">
        <v>1778</v>
      </c>
      <c r="G1761" s="7" t="s">
        <v>4</v>
      </c>
    </row>
    <row r="1762" spans="1:7">
      <c r="A1762" s="7" t="s">
        <v>1006</v>
      </c>
      <c r="B1762" s="7" t="s">
        <v>45</v>
      </c>
      <c r="C1762" s="7" t="str">
        <f>VLOOKUP(B1762,Indice!$B$1:$C$22,2,0)</f>
        <v>SIPRI</v>
      </c>
      <c r="D1762" s="7" t="str">
        <f>$A1762&amp;"-"&amp;$C1762&amp;"-"&amp;TEXT(COUNTIFS($A$2:$A1762,$A1762,$C$2:$C1762,$C1762),"000")</f>
        <v>F3-SIPRI-063</v>
      </c>
      <c r="E1762" s="7" t="s">
        <v>1826</v>
      </c>
      <c r="F1762" s="7" t="s">
        <v>1778</v>
      </c>
      <c r="G1762" s="7" t="s">
        <v>4</v>
      </c>
    </row>
    <row r="1763" spans="1:7">
      <c r="A1763" s="7" t="s">
        <v>1006</v>
      </c>
      <c r="B1763" s="7" t="s">
        <v>45</v>
      </c>
      <c r="C1763" s="7" t="str">
        <f>VLOOKUP(B1763,Indice!$B$1:$C$22,2,0)</f>
        <v>SIPRI</v>
      </c>
      <c r="D1763" s="7" t="str">
        <f>$A1763&amp;"-"&amp;$C1763&amp;"-"&amp;TEXT(COUNTIFS($A$2:$A1763,$A1763,$C$2:$C1763,$C1763),"000")</f>
        <v>F3-SIPRI-064</v>
      </c>
      <c r="E1763" s="7" t="s">
        <v>1827</v>
      </c>
      <c r="F1763" s="7" t="s">
        <v>1778</v>
      </c>
      <c r="G1763" s="7" t="s">
        <v>4</v>
      </c>
    </row>
    <row r="1764" spans="1:7">
      <c r="A1764" s="7" t="s">
        <v>1006</v>
      </c>
      <c r="B1764" s="7" t="s">
        <v>45</v>
      </c>
      <c r="C1764" s="7" t="str">
        <f>VLOOKUP(B1764,Indice!$B$1:$C$22,2,0)</f>
        <v>SIPRI</v>
      </c>
      <c r="D1764" s="7" t="str">
        <f>$A1764&amp;"-"&amp;$C1764&amp;"-"&amp;TEXT(COUNTIFS($A$2:$A1764,$A1764,$C$2:$C1764,$C1764),"000")</f>
        <v>F3-SIPRI-065</v>
      </c>
      <c r="E1764" s="7" t="s">
        <v>1828</v>
      </c>
      <c r="F1764" s="7" t="s">
        <v>1778</v>
      </c>
      <c r="G1764" s="7" t="s">
        <v>4</v>
      </c>
    </row>
    <row r="1765" spans="1:7">
      <c r="A1765" s="7" t="s">
        <v>1006</v>
      </c>
      <c r="B1765" s="7" t="s">
        <v>45</v>
      </c>
      <c r="C1765" s="7" t="str">
        <f>VLOOKUP(B1765,Indice!$B$1:$C$22,2,0)</f>
        <v>SIPRI</v>
      </c>
      <c r="D1765" s="7" t="str">
        <f>$A1765&amp;"-"&amp;$C1765&amp;"-"&amp;TEXT(COUNTIFS($A$2:$A1765,$A1765,$C$2:$C1765,$C1765),"000")</f>
        <v>F3-SIPRI-066</v>
      </c>
      <c r="E1765" s="7" t="s">
        <v>1829</v>
      </c>
      <c r="F1765" s="7" t="s">
        <v>1778</v>
      </c>
      <c r="G1765" s="7" t="s">
        <v>4</v>
      </c>
    </row>
    <row r="1766" spans="1:7">
      <c r="A1766" s="7" t="s">
        <v>1006</v>
      </c>
      <c r="B1766" s="7" t="s">
        <v>45</v>
      </c>
      <c r="C1766" s="7" t="str">
        <f>VLOOKUP(B1766,Indice!$B$1:$C$22,2,0)</f>
        <v>SIPRI</v>
      </c>
      <c r="D1766" s="7" t="str">
        <f>$A1766&amp;"-"&amp;$C1766&amp;"-"&amp;TEXT(COUNTIFS($A$2:$A1766,$A1766,$C$2:$C1766,$C1766),"000")</f>
        <v>F3-SIPRI-067</v>
      </c>
      <c r="E1766" s="7" t="s">
        <v>1830</v>
      </c>
      <c r="F1766" s="7" t="s">
        <v>1778</v>
      </c>
      <c r="G1766" s="7" t="s">
        <v>4</v>
      </c>
    </row>
    <row r="1767" spans="1:7">
      <c r="A1767" s="7" t="s">
        <v>1006</v>
      </c>
      <c r="B1767" s="7" t="s">
        <v>45</v>
      </c>
      <c r="C1767" s="7" t="str">
        <f>VLOOKUP(B1767,Indice!$B$1:$C$22,2,0)</f>
        <v>SIPRI</v>
      </c>
      <c r="D1767" s="7" t="str">
        <f>$A1767&amp;"-"&amp;$C1767&amp;"-"&amp;TEXT(COUNTIFS($A$2:$A1767,$A1767,$C$2:$C1767,$C1767),"000")</f>
        <v>F3-SIPRI-068</v>
      </c>
      <c r="E1767" s="7" t="s">
        <v>1831</v>
      </c>
      <c r="F1767" s="7" t="s">
        <v>1778</v>
      </c>
      <c r="G1767" s="7" t="s">
        <v>4</v>
      </c>
    </row>
    <row r="1768" spans="1:7">
      <c r="A1768" s="7" t="s">
        <v>1006</v>
      </c>
      <c r="B1768" s="7" t="s">
        <v>45</v>
      </c>
      <c r="C1768" s="7" t="str">
        <f>VLOOKUP(B1768,Indice!$B$1:$C$22,2,0)</f>
        <v>SIPRI</v>
      </c>
      <c r="D1768" s="7" t="str">
        <f>$A1768&amp;"-"&amp;$C1768&amp;"-"&amp;TEXT(COUNTIFS($A$2:$A1768,$A1768,$C$2:$C1768,$C1768),"000")</f>
        <v>F3-SIPRI-069</v>
      </c>
      <c r="E1768" s="7" t="s">
        <v>1832</v>
      </c>
      <c r="F1768" s="7" t="s">
        <v>1778</v>
      </c>
      <c r="G1768" s="7" t="s">
        <v>4</v>
      </c>
    </row>
    <row r="1769" spans="1:7">
      <c r="A1769" s="7" t="s">
        <v>1006</v>
      </c>
      <c r="B1769" s="7" t="s">
        <v>45</v>
      </c>
      <c r="C1769" s="7" t="str">
        <f>VLOOKUP(B1769,Indice!$B$1:$C$22,2,0)</f>
        <v>SIPRI</v>
      </c>
      <c r="D1769" s="7" t="str">
        <f>$A1769&amp;"-"&amp;$C1769&amp;"-"&amp;TEXT(COUNTIFS($A$2:$A1769,$A1769,$C$2:$C1769,$C1769),"000")</f>
        <v>F3-SIPRI-070</v>
      </c>
      <c r="E1769" s="7" t="s">
        <v>1833</v>
      </c>
      <c r="F1769" s="7" t="s">
        <v>1778</v>
      </c>
      <c r="G1769" s="7" t="s">
        <v>4</v>
      </c>
    </row>
    <row r="1770" spans="1:7">
      <c r="A1770" s="7" t="s">
        <v>1006</v>
      </c>
      <c r="B1770" s="7" t="s">
        <v>45</v>
      </c>
      <c r="C1770" s="7" t="str">
        <f>VLOOKUP(B1770,Indice!$B$1:$C$22,2,0)</f>
        <v>SIPRI</v>
      </c>
      <c r="D1770" s="7" t="str">
        <f>$A1770&amp;"-"&amp;$C1770&amp;"-"&amp;TEXT(COUNTIFS($A$2:$A1770,$A1770,$C$2:$C1770,$C1770),"000")</f>
        <v>F3-SIPRI-071</v>
      </c>
      <c r="E1770" s="7" t="s">
        <v>1834</v>
      </c>
      <c r="F1770" s="7" t="s">
        <v>1778</v>
      </c>
      <c r="G1770" s="7" t="s">
        <v>4</v>
      </c>
    </row>
    <row r="1771" spans="1:7">
      <c r="A1771" s="7" t="s">
        <v>1006</v>
      </c>
      <c r="B1771" s="7" t="s">
        <v>45</v>
      </c>
      <c r="C1771" s="7" t="str">
        <f>VLOOKUP(B1771,Indice!$B$1:$C$22,2,0)</f>
        <v>SIPRI</v>
      </c>
      <c r="D1771" s="7" t="str">
        <f>$A1771&amp;"-"&amp;$C1771&amp;"-"&amp;TEXT(COUNTIFS($A$2:$A1771,$A1771,$C$2:$C1771,$C1771),"000")</f>
        <v>F3-SIPRI-072</v>
      </c>
      <c r="E1771" s="7" t="s">
        <v>1835</v>
      </c>
      <c r="F1771" s="7" t="s">
        <v>1770</v>
      </c>
      <c r="G1771" s="7" t="s">
        <v>3</v>
      </c>
    </row>
    <row r="1772" spans="1:7">
      <c r="A1772" s="7" t="s">
        <v>1006</v>
      </c>
      <c r="B1772" s="7" t="s">
        <v>45</v>
      </c>
      <c r="C1772" s="7" t="str">
        <f>VLOOKUP(B1772,Indice!$B$1:$C$22,2,0)</f>
        <v>SIPRI</v>
      </c>
      <c r="D1772" s="7" t="str">
        <f>$A1772&amp;"-"&amp;$C1772&amp;"-"&amp;TEXT(COUNTIFS($A$2:$A1772,$A1772,$C$2:$C1772,$C1772),"000")</f>
        <v>F3-SIPRI-073</v>
      </c>
      <c r="E1772" s="7" t="s">
        <v>1836</v>
      </c>
      <c r="F1772" s="7" t="s">
        <v>1776</v>
      </c>
      <c r="G1772" s="7" t="s">
        <v>3</v>
      </c>
    </row>
    <row r="1773" spans="1:7">
      <c r="A1773" s="7" t="s">
        <v>1006</v>
      </c>
      <c r="B1773" s="7" t="s">
        <v>45</v>
      </c>
      <c r="C1773" s="7" t="str">
        <f>VLOOKUP(B1773,Indice!$B$1:$C$22,2,0)</f>
        <v>SIPRI</v>
      </c>
      <c r="D1773" s="7" t="str">
        <f>$A1773&amp;"-"&amp;$C1773&amp;"-"&amp;TEXT(COUNTIFS($A$2:$A1773,$A1773,$C$2:$C1773,$C1773),"000")</f>
        <v>F3-SIPRI-074</v>
      </c>
      <c r="E1773" s="7" t="s">
        <v>1837</v>
      </c>
      <c r="F1773" s="7" t="s">
        <v>1770</v>
      </c>
      <c r="G1773" s="7" t="s">
        <v>3</v>
      </c>
    </row>
    <row r="1774" spans="1:7">
      <c r="A1774" s="7" t="s">
        <v>1006</v>
      </c>
      <c r="B1774" s="7" t="s">
        <v>45</v>
      </c>
      <c r="C1774" s="7" t="str">
        <f>VLOOKUP(B1774,Indice!$B$1:$C$22,2,0)</f>
        <v>SIPRI</v>
      </c>
      <c r="D1774" s="7" t="str">
        <f>$A1774&amp;"-"&amp;$C1774&amp;"-"&amp;TEXT(COUNTIFS($A$2:$A1774,$A1774,$C$2:$C1774,$C1774),"000")</f>
        <v>F3-SIPRI-075</v>
      </c>
      <c r="E1774" s="7" t="s">
        <v>1838</v>
      </c>
      <c r="F1774" s="7" t="s">
        <v>1761</v>
      </c>
      <c r="G1774" s="7" t="s">
        <v>3</v>
      </c>
    </row>
    <row r="1775" spans="1:7">
      <c r="A1775" s="7" t="s">
        <v>1006</v>
      </c>
      <c r="B1775" s="7" t="s">
        <v>45</v>
      </c>
      <c r="C1775" s="7" t="str">
        <f>VLOOKUP(B1775,Indice!$B$1:$C$22,2,0)</f>
        <v>SIPRI</v>
      </c>
      <c r="D1775" s="7" t="str">
        <f>$A1775&amp;"-"&amp;$C1775&amp;"-"&amp;TEXT(COUNTIFS($A$2:$A1775,$A1775,$C$2:$C1775,$C1775),"000")</f>
        <v>F3-SIPRI-076</v>
      </c>
      <c r="E1775" s="7" t="s">
        <v>1839</v>
      </c>
      <c r="F1775" s="7" t="s">
        <v>1770</v>
      </c>
      <c r="G1775" s="7" t="s">
        <v>3</v>
      </c>
    </row>
    <row r="1776" spans="1:7">
      <c r="A1776" s="7" t="s">
        <v>1006</v>
      </c>
      <c r="B1776" s="7" t="s">
        <v>45</v>
      </c>
      <c r="C1776" s="7" t="str">
        <f>VLOOKUP(B1776,Indice!$B$1:$C$22,2,0)</f>
        <v>SIPRI</v>
      </c>
      <c r="D1776" s="7" t="str">
        <f>$A1776&amp;"-"&amp;$C1776&amp;"-"&amp;TEXT(COUNTIFS($A$2:$A1776,$A1776,$C$2:$C1776,$C1776),"000")</f>
        <v>F3-SIPRI-077</v>
      </c>
      <c r="E1776" s="7" t="s">
        <v>1840</v>
      </c>
      <c r="F1776" s="7" t="s">
        <v>1776</v>
      </c>
      <c r="G1776" s="7" t="s">
        <v>3</v>
      </c>
    </row>
    <row r="1777" spans="1:7">
      <c r="A1777" s="7" t="s">
        <v>1006</v>
      </c>
      <c r="B1777" s="7" t="s">
        <v>45</v>
      </c>
      <c r="C1777" s="7" t="str">
        <f>VLOOKUP(B1777,Indice!$B$1:$C$22,2,0)</f>
        <v>SIPRI</v>
      </c>
      <c r="D1777" s="7" t="str">
        <f>$A1777&amp;"-"&amp;$C1777&amp;"-"&amp;TEXT(COUNTIFS($A$2:$A1777,$A1777,$C$2:$C1777,$C1777),"000")</f>
        <v>F3-SIPRI-078</v>
      </c>
      <c r="E1777" s="7" t="s">
        <v>1841</v>
      </c>
      <c r="F1777" s="7" t="s">
        <v>1776</v>
      </c>
      <c r="G1777" s="7" t="s">
        <v>3</v>
      </c>
    </row>
    <row r="1778" spans="1:7">
      <c r="A1778" s="7" t="s">
        <v>1006</v>
      </c>
      <c r="B1778" s="7" t="s">
        <v>45</v>
      </c>
      <c r="C1778" s="7" t="str">
        <f>VLOOKUP(B1778,Indice!$B$1:$C$22,2,0)</f>
        <v>SIPRI</v>
      </c>
      <c r="D1778" s="7" t="str">
        <f>$A1778&amp;"-"&amp;$C1778&amp;"-"&amp;TEXT(COUNTIFS($A$2:$A1778,$A1778,$C$2:$C1778,$C1778),"000")</f>
        <v>F3-SIPRI-079</v>
      </c>
      <c r="E1778" s="7" t="s">
        <v>1842</v>
      </c>
      <c r="F1778" s="7" t="s">
        <v>1776</v>
      </c>
      <c r="G1778" s="7" t="s">
        <v>3</v>
      </c>
    </row>
    <row r="1779" spans="1:7">
      <c r="A1779" s="7" t="s">
        <v>1006</v>
      </c>
      <c r="B1779" s="7" t="s">
        <v>45</v>
      </c>
      <c r="C1779" s="7" t="str">
        <f>VLOOKUP(B1779,Indice!$B$1:$C$22,2,0)</f>
        <v>SIPRI</v>
      </c>
      <c r="D1779" s="7" t="str">
        <f>$A1779&amp;"-"&amp;$C1779&amp;"-"&amp;TEXT(COUNTIFS($A$2:$A1779,$A1779,$C$2:$C1779,$C1779),"000")</f>
        <v>F3-SIPRI-080</v>
      </c>
      <c r="E1779" s="7" t="s">
        <v>1843</v>
      </c>
      <c r="F1779" s="7" t="s">
        <v>1776</v>
      </c>
      <c r="G1779" s="7" t="s">
        <v>3</v>
      </c>
    </row>
    <row r="1780" spans="1:7">
      <c r="A1780" s="7" t="s">
        <v>1006</v>
      </c>
      <c r="B1780" s="7" t="s">
        <v>45</v>
      </c>
      <c r="C1780" s="7" t="str">
        <f>VLOOKUP(B1780,Indice!$B$1:$C$22,2,0)</f>
        <v>SIPRI</v>
      </c>
      <c r="D1780" s="7" t="str">
        <f>$A1780&amp;"-"&amp;$C1780&amp;"-"&amp;TEXT(COUNTIFS($A$2:$A1780,$A1780,$C$2:$C1780,$C1780),"000")</f>
        <v>F3-SIPRI-081</v>
      </c>
      <c r="E1780" s="7" t="s">
        <v>1844</v>
      </c>
      <c r="F1780" s="7" t="s">
        <v>1770</v>
      </c>
      <c r="G1780" s="7" t="s">
        <v>3</v>
      </c>
    </row>
    <row r="1781" spans="1:7">
      <c r="A1781" s="7" t="s">
        <v>1006</v>
      </c>
      <c r="B1781" s="7" t="s">
        <v>45</v>
      </c>
      <c r="C1781" s="7" t="str">
        <f>VLOOKUP(B1781,Indice!$B$1:$C$22,2,0)</f>
        <v>SIPRI</v>
      </c>
      <c r="D1781" s="7" t="str">
        <f>$A1781&amp;"-"&amp;$C1781&amp;"-"&amp;TEXT(COUNTIFS($A$2:$A1781,$A1781,$C$2:$C1781,$C1781),"000")</f>
        <v>F3-SIPRI-082</v>
      </c>
      <c r="E1781" s="7" t="s">
        <v>1845</v>
      </c>
      <c r="F1781" s="7" t="s">
        <v>1846</v>
      </c>
      <c r="G1781" s="7" t="s">
        <v>4</v>
      </c>
    </row>
    <row r="1782" spans="1:7">
      <c r="A1782" s="7" t="s">
        <v>1006</v>
      </c>
      <c r="B1782" s="7" t="s">
        <v>45</v>
      </c>
      <c r="C1782" s="7" t="str">
        <f>VLOOKUP(B1782,Indice!$B$1:$C$22,2,0)</f>
        <v>SIPRI</v>
      </c>
      <c r="D1782" s="7" t="str">
        <f>$A1782&amp;"-"&amp;$C1782&amp;"-"&amp;TEXT(COUNTIFS($A$2:$A1782,$A1782,$C$2:$C1782,$C1782),"000")</f>
        <v>F3-SIPRI-083</v>
      </c>
      <c r="E1782" s="7" t="s">
        <v>1847</v>
      </c>
      <c r="F1782" s="7" t="s">
        <v>1761</v>
      </c>
      <c r="G1782" s="7" t="s">
        <v>3</v>
      </c>
    </row>
    <row r="1783" spans="1:7">
      <c r="A1783" s="7" t="s">
        <v>1006</v>
      </c>
      <c r="B1783" s="7" t="s">
        <v>45</v>
      </c>
      <c r="C1783" s="7" t="str">
        <f>VLOOKUP(B1783,Indice!$B$1:$C$22,2,0)</f>
        <v>SIPRI</v>
      </c>
      <c r="D1783" s="7" t="str">
        <f>$A1783&amp;"-"&amp;$C1783&amp;"-"&amp;TEXT(COUNTIFS($A$2:$A1783,$A1783,$C$2:$C1783,$C1783),"000")</f>
        <v>F3-SIPRI-084</v>
      </c>
      <c r="E1783" s="7" t="s">
        <v>1848</v>
      </c>
      <c r="F1783" s="7" t="s">
        <v>1761</v>
      </c>
      <c r="G1783" s="7" t="s">
        <v>3</v>
      </c>
    </row>
    <row r="1784" spans="1:7">
      <c r="A1784" s="7" t="s">
        <v>1006</v>
      </c>
      <c r="B1784" s="7" t="s">
        <v>45</v>
      </c>
      <c r="C1784" s="7" t="str">
        <f>VLOOKUP(B1784,Indice!$B$1:$C$22,2,0)</f>
        <v>SIPRI</v>
      </c>
      <c r="D1784" s="7" t="str">
        <f>$A1784&amp;"-"&amp;$C1784&amp;"-"&amp;TEXT(COUNTIFS($A$2:$A1784,$A1784,$C$2:$C1784,$C1784),"000")</f>
        <v>F3-SIPRI-085</v>
      </c>
      <c r="E1784" s="7" t="s">
        <v>1849</v>
      </c>
      <c r="F1784" s="7" t="s">
        <v>1761</v>
      </c>
      <c r="G1784" s="7" t="s">
        <v>3</v>
      </c>
    </row>
    <row r="1785" spans="1:7">
      <c r="A1785" s="7" t="s">
        <v>1006</v>
      </c>
      <c r="B1785" s="7" t="s">
        <v>45</v>
      </c>
      <c r="C1785" s="7" t="str">
        <f>VLOOKUP(B1785,Indice!$B$1:$C$22,2,0)</f>
        <v>SIPRI</v>
      </c>
      <c r="D1785" s="7" t="str">
        <f>$A1785&amp;"-"&amp;$C1785&amp;"-"&amp;TEXT(COUNTIFS($A$2:$A1785,$A1785,$C$2:$C1785,$C1785),"000")</f>
        <v>F3-SIPRI-086</v>
      </c>
      <c r="E1785" s="7" t="s">
        <v>1850</v>
      </c>
      <c r="F1785" s="7" t="s">
        <v>1776</v>
      </c>
      <c r="G1785" s="7" t="s">
        <v>3</v>
      </c>
    </row>
    <row r="1786" spans="1:7">
      <c r="A1786" s="7" t="s">
        <v>1006</v>
      </c>
      <c r="B1786" s="7" t="s">
        <v>45</v>
      </c>
      <c r="C1786" s="7" t="str">
        <f>VLOOKUP(B1786,Indice!$B$1:$C$22,2,0)</f>
        <v>SIPRI</v>
      </c>
      <c r="D1786" s="7" t="str">
        <f>$A1786&amp;"-"&amp;$C1786&amp;"-"&amp;TEXT(COUNTIFS($A$2:$A1786,$A1786,$C$2:$C1786,$C1786),"000")</f>
        <v>F3-SIPRI-087</v>
      </c>
      <c r="E1786" s="7" t="s">
        <v>1851</v>
      </c>
      <c r="F1786" s="7" t="s">
        <v>1776</v>
      </c>
      <c r="G1786" s="7" t="s">
        <v>3</v>
      </c>
    </row>
    <row r="1787" spans="1:7">
      <c r="A1787" s="7" t="s">
        <v>1006</v>
      </c>
      <c r="B1787" s="7" t="s">
        <v>45</v>
      </c>
      <c r="C1787" s="7" t="str">
        <f>VLOOKUP(B1787,Indice!$B$1:$C$22,2,0)</f>
        <v>SIPRI</v>
      </c>
      <c r="D1787" s="7" t="str">
        <f>$A1787&amp;"-"&amp;$C1787&amp;"-"&amp;TEXT(COUNTIFS($A$2:$A1787,$A1787,$C$2:$C1787,$C1787),"000")</f>
        <v>F3-SIPRI-088</v>
      </c>
      <c r="E1787" s="7" t="s">
        <v>1852</v>
      </c>
      <c r="F1787" s="7" t="s">
        <v>1776</v>
      </c>
      <c r="G1787" s="7" t="s">
        <v>3</v>
      </c>
    </row>
    <row r="1788" spans="1:7">
      <c r="A1788" s="7" t="s">
        <v>1006</v>
      </c>
      <c r="B1788" s="7" t="s">
        <v>45</v>
      </c>
      <c r="C1788" s="7" t="str">
        <f>VLOOKUP(B1788,Indice!$B$1:$C$22,2,0)</f>
        <v>SIPRI</v>
      </c>
      <c r="D1788" s="7" t="str">
        <f>$A1788&amp;"-"&amp;$C1788&amp;"-"&amp;TEXT(COUNTIFS($A$2:$A1788,$A1788,$C$2:$C1788,$C1788),"000")</f>
        <v>F3-SIPRI-089</v>
      </c>
      <c r="E1788" s="7" t="s">
        <v>1853</v>
      </c>
      <c r="F1788" s="7" t="s">
        <v>1761</v>
      </c>
      <c r="G1788" s="7" t="s">
        <v>3</v>
      </c>
    </row>
    <row r="1789" spans="1:7">
      <c r="A1789" s="7" t="s">
        <v>1006</v>
      </c>
      <c r="B1789" s="7" t="s">
        <v>45</v>
      </c>
      <c r="C1789" s="7" t="str">
        <f>VLOOKUP(B1789,Indice!$B$1:$C$22,2,0)</f>
        <v>SIPRI</v>
      </c>
      <c r="D1789" s="7" t="str">
        <f>$A1789&amp;"-"&amp;$C1789&amp;"-"&amp;TEXT(COUNTIFS($A$2:$A1789,$A1789,$C$2:$C1789,$C1789),"000")</f>
        <v>F3-SIPRI-090</v>
      </c>
      <c r="E1789" s="7" t="s">
        <v>1854</v>
      </c>
      <c r="F1789" s="7" t="s">
        <v>1761</v>
      </c>
      <c r="G1789" s="7" t="s">
        <v>3</v>
      </c>
    </row>
    <row r="1790" spans="1:7">
      <c r="A1790" s="7" t="s">
        <v>1006</v>
      </c>
      <c r="B1790" s="7" t="s">
        <v>45</v>
      </c>
      <c r="C1790" s="7" t="str">
        <f>VLOOKUP(B1790,Indice!$B$1:$C$22,2,0)</f>
        <v>SIPRI</v>
      </c>
      <c r="D1790" s="7" t="str">
        <f>$A1790&amp;"-"&amp;$C1790&amp;"-"&amp;TEXT(COUNTIFS($A$2:$A1790,$A1790,$C$2:$C1790,$C1790),"000")</f>
        <v>F3-SIPRI-091</v>
      </c>
      <c r="E1790" s="7" t="s">
        <v>1855</v>
      </c>
      <c r="F1790" s="7" t="s">
        <v>1776</v>
      </c>
      <c r="G1790" s="7" t="s">
        <v>3</v>
      </c>
    </row>
    <row r="1791" spans="1:7">
      <c r="A1791" s="7" t="s">
        <v>1006</v>
      </c>
      <c r="B1791" s="7" t="s">
        <v>45</v>
      </c>
      <c r="C1791" s="7" t="str">
        <f>VLOOKUP(B1791,Indice!$B$1:$C$22,2,0)</f>
        <v>SIPRI</v>
      </c>
      <c r="D1791" s="7" t="str">
        <f>$A1791&amp;"-"&amp;$C1791&amp;"-"&amp;TEXT(COUNTIFS($A$2:$A1791,$A1791,$C$2:$C1791,$C1791),"000")</f>
        <v>F3-SIPRI-092</v>
      </c>
      <c r="E1791" s="7" t="s">
        <v>1856</v>
      </c>
      <c r="F1791" s="7" t="s">
        <v>1770</v>
      </c>
      <c r="G1791" s="7" t="s">
        <v>3</v>
      </c>
    </row>
    <row r="1792" spans="1:7">
      <c r="A1792" s="7" t="s">
        <v>1006</v>
      </c>
      <c r="B1792" s="7" t="s">
        <v>45</v>
      </c>
      <c r="C1792" s="7" t="str">
        <f>VLOOKUP(B1792,Indice!$B$1:$C$22,2,0)</f>
        <v>SIPRI</v>
      </c>
      <c r="D1792" s="7" t="str">
        <f>$A1792&amp;"-"&amp;$C1792&amp;"-"&amp;TEXT(COUNTIFS($A$2:$A1792,$A1792,$C$2:$C1792,$C1792),"000")</f>
        <v>F3-SIPRI-093</v>
      </c>
      <c r="E1792" s="7" t="s">
        <v>1857</v>
      </c>
      <c r="F1792" s="7" t="s">
        <v>1858</v>
      </c>
      <c r="G1792" s="7" t="s">
        <v>3</v>
      </c>
    </row>
    <row r="1793" spans="1:7">
      <c r="A1793" s="7" t="s">
        <v>1006</v>
      </c>
      <c r="B1793" s="7" t="s">
        <v>45</v>
      </c>
      <c r="C1793" s="7" t="str">
        <f>VLOOKUP(B1793,Indice!$B$1:$C$22,2,0)</f>
        <v>SIPRI</v>
      </c>
      <c r="D1793" s="7" t="str">
        <f>$A1793&amp;"-"&amp;$C1793&amp;"-"&amp;TEXT(COUNTIFS($A$2:$A1793,$A1793,$C$2:$C1793,$C1793),"000")</f>
        <v>F3-SIPRI-094</v>
      </c>
      <c r="E1793" s="7" t="s">
        <v>1859</v>
      </c>
      <c r="F1793" s="7" t="s">
        <v>1770</v>
      </c>
      <c r="G1793" s="7" t="s">
        <v>3</v>
      </c>
    </row>
    <row r="1794" spans="1:7">
      <c r="A1794" s="7" t="s">
        <v>1006</v>
      </c>
      <c r="B1794" s="7" t="s">
        <v>45</v>
      </c>
      <c r="C1794" s="7" t="str">
        <f>VLOOKUP(B1794,Indice!$B$1:$C$22,2,0)</f>
        <v>SIPRI</v>
      </c>
      <c r="D1794" s="7" t="str">
        <f>$A1794&amp;"-"&amp;$C1794&amp;"-"&amp;TEXT(COUNTIFS($A$2:$A1794,$A1794,$C$2:$C1794,$C1794),"000")</f>
        <v>F3-SIPRI-095</v>
      </c>
      <c r="E1794" s="7" t="s">
        <v>1860</v>
      </c>
      <c r="F1794" s="7" t="s">
        <v>1761</v>
      </c>
      <c r="G1794" s="7" t="s">
        <v>3</v>
      </c>
    </row>
    <row r="1795" spans="1:7">
      <c r="A1795" s="7" t="s">
        <v>1006</v>
      </c>
      <c r="B1795" s="7" t="s">
        <v>45</v>
      </c>
      <c r="C1795" s="7" t="str">
        <f>VLOOKUP(B1795,Indice!$B$1:$C$22,2,0)</f>
        <v>SIPRI</v>
      </c>
      <c r="D1795" s="7" t="str">
        <f>$A1795&amp;"-"&amp;$C1795&amp;"-"&amp;TEXT(COUNTIFS($A$2:$A1795,$A1795,$C$2:$C1795,$C1795),"000")</f>
        <v>F3-SIPRI-096</v>
      </c>
      <c r="E1795" s="7" t="s">
        <v>1861</v>
      </c>
      <c r="F1795" s="7" t="s">
        <v>1776</v>
      </c>
      <c r="G1795" s="7" t="s">
        <v>3</v>
      </c>
    </row>
    <row r="1796" spans="1:7">
      <c r="A1796" s="7" t="s">
        <v>1006</v>
      </c>
      <c r="B1796" s="7" t="s">
        <v>45</v>
      </c>
      <c r="C1796" s="7" t="str">
        <f>VLOOKUP(B1796,Indice!$B$1:$C$22,2,0)</f>
        <v>SIPRI</v>
      </c>
      <c r="D1796" s="7" t="str">
        <f>$A1796&amp;"-"&amp;$C1796&amp;"-"&amp;TEXT(COUNTIFS($A$2:$A1796,$A1796,$C$2:$C1796,$C1796),"000")</f>
        <v>F3-SIPRI-097</v>
      </c>
      <c r="E1796" s="7" t="s">
        <v>1862</v>
      </c>
      <c r="F1796" s="7" t="s">
        <v>1761</v>
      </c>
      <c r="G1796" s="7" t="s">
        <v>3</v>
      </c>
    </row>
    <row r="1797" spans="1:7">
      <c r="A1797" s="7" t="s">
        <v>1006</v>
      </c>
      <c r="B1797" s="7" t="s">
        <v>45</v>
      </c>
      <c r="C1797" s="7" t="str">
        <f>VLOOKUP(B1797,Indice!$B$1:$C$22,2,0)</f>
        <v>SIPRI</v>
      </c>
      <c r="D1797" s="7" t="str">
        <f>$A1797&amp;"-"&amp;$C1797&amp;"-"&amp;TEXT(COUNTIFS($A$2:$A1797,$A1797,$C$2:$C1797,$C1797),"000")</f>
        <v>F3-SIPRI-098</v>
      </c>
      <c r="E1797" s="7" t="s">
        <v>1863</v>
      </c>
      <c r="F1797" s="7" t="s">
        <v>1761</v>
      </c>
      <c r="G1797" s="7" t="s">
        <v>3</v>
      </c>
    </row>
    <row r="1798" spans="1:7">
      <c r="A1798" s="7" t="s">
        <v>1006</v>
      </c>
      <c r="B1798" s="7" t="s">
        <v>45</v>
      </c>
      <c r="C1798" s="7" t="str">
        <f>VLOOKUP(B1798,Indice!$B$1:$C$22,2,0)</f>
        <v>SIPRI</v>
      </c>
      <c r="D1798" s="7" t="str">
        <f>$A1798&amp;"-"&amp;$C1798&amp;"-"&amp;TEXT(COUNTIFS($A$2:$A1798,$A1798,$C$2:$C1798,$C1798),"000")</f>
        <v>F3-SIPRI-099</v>
      </c>
      <c r="E1798" s="7" t="s">
        <v>1864</v>
      </c>
      <c r="F1798" s="7" t="s">
        <v>1776</v>
      </c>
      <c r="G1798" s="7" t="s">
        <v>3</v>
      </c>
    </row>
    <row r="1799" spans="1:7">
      <c r="A1799" s="7" t="s">
        <v>1006</v>
      </c>
      <c r="B1799" s="7" t="s">
        <v>45</v>
      </c>
      <c r="C1799" s="7" t="str">
        <f>VLOOKUP(B1799,Indice!$B$1:$C$22,2,0)</f>
        <v>SIPRI</v>
      </c>
      <c r="D1799" s="7" t="str">
        <f>$A1799&amp;"-"&amp;$C1799&amp;"-"&amp;TEXT(COUNTIFS($A$2:$A1799,$A1799,$C$2:$C1799,$C1799),"000")</f>
        <v>F3-SIPRI-100</v>
      </c>
      <c r="E1799" s="7" t="s">
        <v>1865</v>
      </c>
      <c r="F1799" s="7" t="s">
        <v>1770</v>
      </c>
      <c r="G1799" s="7" t="s">
        <v>3</v>
      </c>
    </row>
    <row r="1800" spans="1:7">
      <c r="A1800" s="7" t="s">
        <v>1006</v>
      </c>
      <c r="B1800" s="7" t="s">
        <v>45</v>
      </c>
      <c r="C1800" s="7" t="str">
        <f>VLOOKUP(B1800,Indice!$B$1:$C$22,2,0)</f>
        <v>SIPRI</v>
      </c>
      <c r="D1800" s="7" t="str">
        <f>$A1800&amp;"-"&amp;$C1800&amp;"-"&amp;TEXT(COUNTIFS($A$2:$A1800,$A1800,$C$2:$C1800,$C1800),"000")</f>
        <v>F3-SIPRI-101</v>
      </c>
      <c r="E1800" s="7" t="s">
        <v>1866</v>
      </c>
      <c r="F1800" s="7" t="s">
        <v>1770</v>
      </c>
      <c r="G1800" s="7" t="s">
        <v>3</v>
      </c>
    </row>
    <row r="1801" spans="1:7">
      <c r="A1801" s="7" t="s">
        <v>1006</v>
      </c>
      <c r="B1801" s="7" t="s">
        <v>45</v>
      </c>
      <c r="C1801" s="7" t="str">
        <f>VLOOKUP(B1801,Indice!$B$1:$C$22,2,0)</f>
        <v>SIPRI</v>
      </c>
      <c r="D1801" s="7" t="str">
        <f>$A1801&amp;"-"&amp;$C1801&amp;"-"&amp;TEXT(COUNTIFS($A$2:$A1801,$A1801,$C$2:$C1801,$C1801),"000")</f>
        <v>F3-SIPRI-102</v>
      </c>
      <c r="E1801" s="7" t="s">
        <v>1867</v>
      </c>
      <c r="F1801" s="7" t="s">
        <v>1761</v>
      </c>
      <c r="G1801" s="7" t="s">
        <v>3</v>
      </c>
    </row>
    <row r="1802" spans="1:7">
      <c r="A1802" s="7" t="s">
        <v>1006</v>
      </c>
      <c r="B1802" s="7" t="s">
        <v>45</v>
      </c>
      <c r="C1802" s="7" t="str">
        <f>VLOOKUP(B1802,Indice!$B$1:$C$22,2,0)</f>
        <v>SIPRI</v>
      </c>
      <c r="D1802" s="7" t="str">
        <f>$A1802&amp;"-"&amp;$C1802&amp;"-"&amp;TEXT(COUNTIFS($A$2:$A1802,$A1802,$C$2:$C1802,$C1802),"000")</f>
        <v>F3-SIPRI-103</v>
      </c>
      <c r="E1802" s="7" t="s">
        <v>1868</v>
      </c>
      <c r="F1802" s="7" t="s">
        <v>1761</v>
      </c>
      <c r="G1802" s="7" t="s">
        <v>3</v>
      </c>
    </row>
    <row r="1803" spans="1:7">
      <c r="A1803" s="7" t="s">
        <v>1006</v>
      </c>
      <c r="B1803" s="7" t="s">
        <v>45</v>
      </c>
      <c r="C1803" s="7" t="str">
        <f>VLOOKUP(B1803,Indice!$B$1:$C$22,2,0)</f>
        <v>SIPRI</v>
      </c>
      <c r="D1803" s="7" t="str">
        <f>$A1803&amp;"-"&amp;$C1803&amp;"-"&amp;TEXT(COUNTIFS($A$2:$A1803,$A1803,$C$2:$C1803,$C1803),"000")</f>
        <v>F3-SIPRI-104</v>
      </c>
      <c r="E1803" s="7" t="s">
        <v>1869</v>
      </c>
      <c r="F1803" s="7" t="s">
        <v>1761</v>
      </c>
      <c r="G1803" s="7" t="s">
        <v>3</v>
      </c>
    </row>
    <row r="1804" spans="1:7">
      <c r="A1804" s="7" t="s">
        <v>1006</v>
      </c>
      <c r="B1804" s="7" t="s">
        <v>45</v>
      </c>
      <c r="C1804" s="7" t="str">
        <f>VLOOKUP(B1804,Indice!$B$1:$C$22,2,0)</f>
        <v>SIPRI</v>
      </c>
      <c r="D1804" s="7" t="str">
        <f>$A1804&amp;"-"&amp;$C1804&amp;"-"&amp;TEXT(COUNTIFS($A$2:$A1804,$A1804,$C$2:$C1804,$C1804),"000")</f>
        <v>F3-SIPRI-105</v>
      </c>
      <c r="E1804" s="7" t="s">
        <v>1870</v>
      </c>
      <c r="F1804" s="7" t="s">
        <v>1770</v>
      </c>
      <c r="G1804" s="7" t="s">
        <v>3</v>
      </c>
    </row>
    <row r="1805" spans="1:7">
      <c r="A1805" s="7" t="s">
        <v>1006</v>
      </c>
      <c r="B1805" s="7" t="s">
        <v>45</v>
      </c>
      <c r="C1805" s="7" t="str">
        <f>VLOOKUP(B1805,Indice!$B$1:$C$22,2,0)</f>
        <v>SIPRI</v>
      </c>
      <c r="D1805" s="7" t="str">
        <f>$A1805&amp;"-"&amp;$C1805&amp;"-"&amp;TEXT(COUNTIFS($A$2:$A1805,$A1805,$C$2:$C1805,$C1805),"000")</f>
        <v>F3-SIPRI-106</v>
      </c>
      <c r="E1805" s="7" t="s">
        <v>1871</v>
      </c>
      <c r="F1805" s="7" t="s">
        <v>1761</v>
      </c>
      <c r="G1805" s="7" t="s">
        <v>3</v>
      </c>
    </row>
    <row r="1806" spans="1:7">
      <c r="A1806" s="7" t="s">
        <v>1006</v>
      </c>
      <c r="B1806" s="7" t="s">
        <v>45</v>
      </c>
      <c r="C1806" s="7" t="str">
        <f>VLOOKUP(B1806,Indice!$B$1:$C$22,2,0)</f>
        <v>SIPRI</v>
      </c>
      <c r="D1806" s="7" t="str">
        <f>$A1806&amp;"-"&amp;$C1806&amp;"-"&amp;TEXT(COUNTIFS($A$2:$A1806,$A1806,$C$2:$C1806,$C1806),"000")</f>
        <v>F3-SIPRI-107</v>
      </c>
      <c r="E1806" s="7" t="s">
        <v>1872</v>
      </c>
      <c r="F1806" s="7" t="s">
        <v>1761</v>
      </c>
      <c r="G1806" s="7" t="s">
        <v>3</v>
      </c>
    </row>
    <row r="1807" spans="1:7">
      <c r="A1807" s="7" t="s">
        <v>1006</v>
      </c>
      <c r="B1807" s="7" t="s">
        <v>45</v>
      </c>
      <c r="C1807" s="7" t="str">
        <f>VLOOKUP(B1807,Indice!$B$1:$C$22,2,0)</f>
        <v>SIPRI</v>
      </c>
      <c r="D1807" s="7" t="str">
        <f>$A1807&amp;"-"&amp;$C1807&amp;"-"&amp;TEXT(COUNTIFS($A$2:$A1807,$A1807,$C$2:$C1807,$C1807),"000")</f>
        <v>F3-SIPRI-108</v>
      </c>
      <c r="E1807" s="7" t="s">
        <v>1873</v>
      </c>
      <c r="F1807" s="7" t="s">
        <v>1770</v>
      </c>
      <c r="G1807" s="7" t="s">
        <v>3</v>
      </c>
    </row>
    <row r="1808" spans="1:7">
      <c r="A1808" s="7" t="s">
        <v>1006</v>
      </c>
      <c r="B1808" s="7" t="s">
        <v>45</v>
      </c>
      <c r="C1808" s="7" t="str">
        <f>VLOOKUP(B1808,Indice!$B$1:$C$22,2,0)</f>
        <v>SIPRI</v>
      </c>
      <c r="D1808" s="7" t="str">
        <f>$A1808&amp;"-"&amp;$C1808&amp;"-"&amp;TEXT(COUNTIFS($A$2:$A1808,$A1808,$C$2:$C1808,$C1808),"000")</f>
        <v>F3-SIPRI-109</v>
      </c>
      <c r="E1808" s="7" t="s">
        <v>1874</v>
      </c>
      <c r="F1808" s="7" t="s">
        <v>1770</v>
      </c>
      <c r="G1808" s="7" t="s">
        <v>3</v>
      </c>
    </row>
    <row r="1809" spans="1:7">
      <c r="A1809" s="7" t="s">
        <v>1006</v>
      </c>
      <c r="B1809" s="7" t="s">
        <v>45</v>
      </c>
      <c r="C1809" s="7" t="str">
        <f>VLOOKUP(B1809,Indice!$B$1:$C$22,2,0)</f>
        <v>SIPRI</v>
      </c>
      <c r="D1809" s="7" t="str">
        <f>$A1809&amp;"-"&amp;$C1809&amp;"-"&amp;TEXT(COUNTIFS($A$2:$A1809,$A1809,$C$2:$C1809,$C1809),"000")</f>
        <v>F3-SIPRI-110</v>
      </c>
      <c r="E1809" s="7" t="s">
        <v>1875</v>
      </c>
      <c r="F1809" s="7" t="s">
        <v>1761</v>
      </c>
      <c r="G1809" s="7" t="s">
        <v>3</v>
      </c>
    </row>
    <row r="1810" spans="1:7">
      <c r="A1810" s="7" t="s">
        <v>1006</v>
      </c>
      <c r="B1810" s="7" t="s">
        <v>45</v>
      </c>
      <c r="C1810" s="7" t="str">
        <f>VLOOKUP(B1810,Indice!$B$1:$C$22,2,0)</f>
        <v>SIPRI</v>
      </c>
      <c r="D1810" s="7" t="str">
        <f>$A1810&amp;"-"&amp;$C1810&amp;"-"&amp;TEXT(COUNTIFS($A$2:$A1810,$A1810,$C$2:$C1810,$C1810),"000")</f>
        <v>F3-SIPRI-111</v>
      </c>
      <c r="E1810" s="7" t="s">
        <v>1876</v>
      </c>
      <c r="F1810" s="7" t="s">
        <v>1770</v>
      </c>
      <c r="G1810" s="7" t="s">
        <v>3</v>
      </c>
    </row>
    <row r="1811" spans="1:7">
      <c r="A1811" s="7" t="s">
        <v>1006</v>
      </c>
      <c r="B1811" s="7" t="s">
        <v>45</v>
      </c>
      <c r="C1811" s="7" t="str">
        <f>VLOOKUP(B1811,Indice!$B$1:$C$22,2,0)</f>
        <v>SIPRI</v>
      </c>
      <c r="D1811" s="7" t="str">
        <f>$A1811&amp;"-"&amp;$C1811&amp;"-"&amp;TEXT(COUNTIFS($A$2:$A1811,$A1811,$C$2:$C1811,$C1811),"000")</f>
        <v>F3-SIPRI-112</v>
      </c>
      <c r="E1811" s="7" t="s">
        <v>1877</v>
      </c>
      <c r="F1811" s="7" t="s">
        <v>1846</v>
      </c>
      <c r="G1811" s="7" t="s">
        <v>5</v>
      </c>
    </row>
    <row r="1812" spans="1:7">
      <c r="A1812" s="7" t="s">
        <v>1006</v>
      </c>
      <c r="B1812" s="7" t="s">
        <v>45</v>
      </c>
      <c r="C1812" s="7" t="str">
        <f>VLOOKUP(B1812,Indice!$B$1:$C$22,2,0)</f>
        <v>SIPRI</v>
      </c>
      <c r="D1812" s="7" t="str">
        <f>$A1812&amp;"-"&amp;$C1812&amp;"-"&amp;TEXT(COUNTIFS($A$2:$A1812,$A1812,$C$2:$C1812,$C1812),"000")</f>
        <v>F3-SIPRI-113</v>
      </c>
      <c r="E1812" s="7" t="s">
        <v>1878</v>
      </c>
      <c r="F1812" s="7" t="s">
        <v>1776</v>
      </c>
      <c r="G1812" s="7" t="s">
        <v>3</v>
      </c>
    </row>
    <row r="1813" spans="1:7">
      <c r="A1813" s="7" t="s">
        <v>1006</v>
      </c>
      <c r="B1813" s="7" t="s">
        <v>45</v>
      </c>
      <c r="C1813" s="7" t="str">
        <f>VLOOKUP(B1813,Indice!$B$1:$C$22,2,0)</f>
        <v>SIPRI</v>
      </c>
      <c r="D1813" s="7" t="str">
        <f>$A1813&amp;"-"&amp;$C1813&amp;"-"&amp;TEXT(COUNTIFS($A$2:$A1813,$A1813,$C$2:$C1813,$C1813),"000")</f>
        <v>F3-SIPRI-114</v>
      </c>
      <c r="E1813" s="7" t="s">
        <v>1879</v>
      </c>
      <c r="F1813" s="7" t="s">
        <v>1770</v>
      </c>
      <c r="G1813" s="7" t="s">
        <v>3</v>
      </c>
    </row>
    <row r="1814" spans="1:7">
      <c r="A1814" s="7" t="s">
        <v>1006</v>
      </c>
      <c r="B1814" s="7" t="s">
        <v>45</v>
      </c>
      <c r="C1814" s="7" t="str">
        <f>VLOOKUP(B1814,Indice!$B$1:$C$22,2,0)</f>
        <v>SIPRI</v>
      </c>
      <c r="D1814" s="7" t="str">
        <f>$A1814&amp;"-"&amp;$C1814&amp;"-"&amp;TEXT(COUNTIFS($A$2:$A1814,$A1814,$C$2:$C1814,$C1814),"000")</f>
        <v>F3-SIPRI-115</v>
      </c>
      <c r="E1814" s="7" t="s">
        <v>1880</v>
      </c>
      <c r="F1814" s="7" t="s">
        <v>1770</v>
      </c>
      <c r="G1814" s="7" t="s">
        <v>3</v>
      </c>
    </row>
    <row r="1815" spans="1:7">
      <c r="A1815" s="7" t="s">
        <v>1006</v>
      </c>
      <c r="B1815" s="7" t="s">
        <v>45</v>
      </c>
      <c r="C1815" s="7" t="str">
        <f>VLOOKUP(B1815,Indice!$B$1:$C$22,2,0)</f>
        <v>SIPRI</v>
      </c>
      <c r="D1815" s="7" t="str">
        <f>$A1815&amp;"-"&amp;$C1815&amp;"-"&amp;TEXT(COUNTIFS($A$2:$A1815,$A1815,$C$2:$C1815,$C1815),"000")</f>
        <v>F3-SIPRI-116</v>
      </c>
      <c r="E1815" s="7" t="s">
        <v>1881</v>
      </c>
      <c r="F1815" s="7" t="s">
        <v>1770</v>
      </c>
      <c r="G1815" s="7" t="s">
        <v>3</v>
      </c>
    </row>
    <row r="1816" spans="1:7">
      <c r="A1816" s="7" t="s">
        <v>1006</v>
      </c>
      <c r="B1816" s="7" t="s">
        <v>45</v>
      </c>
      <c r="C1816" s="7" t="str">
        <f>VLOOKUP(B1816,Indice!$B$1:$C$22,2,0)</f>
        <v>SIPRI</v>
      </c>
      <c r="D1816" s="7" t="str">
        <f>$A1816&amp;"-"&amp;$C1816&amp;"-"&amp;TEXT(COUNTIFS($A$2:$A1816,$A1816,$C$2:$C1816,$C1816),"000")</f>
        <v>F3-SIPRI-117</v>
      </c>
      <c r="E1816" s="7" t="s">
        <v>1882</v>
      </c>
      <c r="F1816" s="7" t="s">
        <v>1770</v>
      </c>
      <c r="G1816" s="7" t="s">
        <v>3</v>
      </c>
    </row>
    <row r="1817" spans="1:7">
      <c r="A1817" s="7" t="s">
        <v>1006</v>
      </c>
      <c r="B1817" s="7" t="s">
        <v>45</v>
      </c>
      <c r="C1817" s="7" t="str">
        <f>VLOOKUP(B1817,Indice!$B$1:$C$22,2,0)</f>
        <v>SIPRI</v>
      </c>
      <c r="D1817" s="7" t="str">
        <f>$A1817&amp;"-"&amp;$C1817&amp;"-"&amp;TEXT(COUNTIFS($A$2:$A1817,$A1817,$C$2:$C1817,$C1817),"000")</f>
        <v>F3-SIPRI-118</v>
      </c>
      <c r="E1817" s="7" t="s">
        <v>1883</v>
      </c>
      <c r="F1817" s="7" t="s">
        <v>1770</v>
      </c>
      <c r="G1817" s="7" t="s">
        <v>3</v>
      </c>
    </row>
    <row r="1818" spans="1:7">
      <c r="A1818" s="7" t="s">
        <v>1006</v>
      </c>
      <c r="B1818" s="7" t="s">
        <v>45</v>
      </c>
      <c r="C1818" s="7" t="str">
        <f>VLOOKUP(B1818,Indice!$B$1:$C$22,2,0)</f>
        <v>SIPRI</v>
      </c>
      <c r="D1818" s="7" t="str">
        <f>$A1818&amp;"-"&amp;$C1818&amp;"-"&amp;TEXT(COUNTIFS($A$2:$A1818,$A1818,$C$2:$C1818,$C1818),"000")</f>
        <v>F3-SIPRI-119</v>
      </c>
      <c r="E1818" s="7" t="s">
        <v>1884</v>
      </c>
      <c r="F1818" s="7" t="s">
        <v>1761</v>
      </c>
      <c r="G1818" s="7" t="s">
        <v>3</v>
      </c>
    </row>
    <row r="1819" spans="1:7">
      <c r="A1819" s="7" t="s">
        <v>1006</v>
      </c>
      <c r="B1819" s="7" t="s">
        <v>45</v>
      </c>
      <c r="C1819" s="7" t="str">
        <f>VLOOKUP(B1819,Indice!$B$1:$C$22,2,0)</f>
        <v>SIPRI</v>
      </c>
      <c r="D1819" s="7" t="str">
        <f>$A1819&amp;"-"&amp;$C1819&amp;"-"&amp;TEXT(COUNTIFS($A$2:$A1819,$A1819,$C$2:$C1819,$C1819),"000")</f>
        <v>F3-SIPRI-120</v>
      </c>
      <c r="E1819" s="7" t="s">
        <v>1885</v>
      </c>
      <c r="F1819" s="7" t="s">
        <v>1761</v>
      </c>
      <c r="G1819" s="7" t="s">
        <v>3</v>
      </c>
    </row>
    <row r="1820" spans="1:7">
      <c r="A1820" s="7" t="s">
        <v>1006</v>
      </c>
      <c r="B1820" s="7" t="s">
        <v>45</v>
      </c>
      <c r="C1820" s="7" t="str">
        <f>VLOOKUP(B1820,Indice!$B$1:$C$22,2,0)</f>
        <v>SIPRI</v>
      </c>
      <c r="D1820" s="7" t="str">
        <f>$A1820&amp;"-"&amp;$C1820&amp;"-"&amp;TEXT(COUNTIFS($A$2:$A1820,$A1820,$C$2:$C1820,$C1820),"000")</f>
        <v>F3-SIPRI-121</v>
      </c>
      <c r="E1820" s="7" t="s">
        <v>1886</v>
      </c>
      <c r="F1820" s="7" t="s">
        <v>1761</v>
      </c>
      <c r="G1820" s="7" t="s">
        <v>3</v>
      </c>
    </row>
    <row r="1821" spans="1:7">
      <c r="A1821" s="7" t="s">
        <v>1006</v>
      </c>
      <c r="B1821" s="7" t="s">
        <v>45</v>
      </c>
      <c r="C1821" s="7" t="str">
        <f>VLOOKUP(B1821,Indice!$B$1:$C$22,2,0)</f>
        <v>SIPRI</v>
      </c>
      <c r="D1821" s="7" t="str">
        <f>$A1821&amp;"-"&amp;$C1821&amp;"-"&amp;TEXT(COUNTIFS($A$2:$A1821,$A1821,$C$2:$C1821,$C1821),"000")</f>
        <v>F3-SIPRI-122</v>
      </c>
      <c r="E1821" s="7" t="s">
        <v>1887</v>
      </c>
      <c r="F1821" s="7" t="s">
        <v>1761</v>
      </c>
      <c r="G1821" s="7" t="s">
        <v>3</v>
      </c>
    </row>
    <row r="1822" spans="1:7">
      <c r="A1822" s="7" t="s">
        <v>1006</v>
      </c>
      <c r="B1822" s="7" t="s">
        <v>45</v>
      </c>
      <c r="C1822" s="7" t="str">
        <f>VLOOKUP(B1822,Indice!$B$1:$C$22,2,0)</f>
        <v>SIPRI</v>
      </c>
      <c r="D1822" s="7" t="str">
        <f>$A1822&amp;"-"&amp;$C1822&amp;"-"&amp;TEXT(COUNTIFS($A$2:$A1822,$A1822,$C$2:$C1822,$C1822),"000")</f>
        <v>F3-SIPRI-123</v>
      </c>
      <c r="E1822" s="7" t="s">
        <v>1888</v>
      </c>
      <c r="F1822" s="7" t="s">
        <v>1770</v>
      </c>
      <c r="G1822" s="7" t="s">
        <v>3</v>
      </c>
    </row>
    <row r="1823" spans="1:7">
      <c r="A1823" s="7" t="s">
        <v>1006</v>
      </c>
      <c r="B1823" s="7" t="s">
        <v>45</v>
      </c>
      <c r="C1823" s="7" t="str">
        <f>VLOOKUP(B1823,Indice!$B$1:$C$22,2,0)</f>
        <v>SIPRI</v>
      </c>
      <c r="D1823" s="7" t="str">
        <f>$A1823&amp;"-"&amp;$C1823&amp;"-"&amp;TEXT(COUNTIFS($A$2:$A1823,$A1823,$C$2:$C1823,$C1823),"000")</f>
        <v>F3-SIPRI-124</v>
      </c>
      <c r="E1823" s="7" t="s">
        <v>1889</v>
      </c>
      <c r="F1823" s="7" t="s">
        <v>1770</v>
      </c>
      <c r="G1823" s="7" t="s">
        <v>3</v>
      </c>
    </row>
    <row r="1824" spans="1:7">
      <c r="A1824" s="7" t="s">
        <v>1006</v>
      </c>
      <c r="B1824" s="7" t="s">
        <v>45</v>
      </c>
      <c r="C1824" s="7" t="str">
        <f>VLOOKUP(B1824,Indice!$B$1:$C$22,2,0)</f>
        <v>SIPRI</v>
      </c>
      <c r="D1824" s="7" t="str">
        <f>$A1824&amp;"-"&amp;$C1824&amp;"-"&amp;TEXT(COUNTIFS($A$2:$A1824,$A1824,$C$2:$C1824,$C1824),"000")</f>
        <v>F3-SIPRI-125</v>
      </c>
      <c r="E1824" s="7" t="s">
        <v>1890</v>
      </c>
      <c r="F1824" s="7" t="s">
        <v>1770</v>
      </c>
      <c r="G1824" s="7" t="s">
        <v>3</v>
      </c>
    </row>
    <row r="1825" spans="1:7">
      <c r="A1825" s="7" t="s">
        <v>1006</v>
      </c>
      <c r="B1825" s="7" t="s">
        <v>45</v>
      </c>
      <c r="C1825" s="7" t="str">
        <f>VLOOKUP(B1825,Indice!$B$1:$C$22,2,0)</f>
        <v>SIPRI</v>
      </c>
      <c r="D1825" s="7" t="str">
        <f>$A1825&amp;"-"&amp;$C1825&amp;"-"&amp;TEXT(COUNTIFS($A$2:$A1825,$A1825,$C$2:$C1825,$C1825),"000")</f>
        <v>F3-SIPRI-126</v>
      </c>
      <c r="E1825" s="7" t="s">
        <v>1891</v>
      </c>
      <c r="F1825" s="7" t="s">
        <v>1776</v>
      </c>
      <c r="G1825" s="7" t="s">
        <v>3</v>
      </c>
    </row>
    <row r="1826" spans="1:7">
      <c r="A1826" s="7" t="s">
        <v>1006</v>
      </c>
      <c r="B1826" s="7" t="s">
        <v>45</v>
      </c>
      <c r="C1826" s="7" t="str">
        <f>VLOOKUP(B1826,Indice!$B$1:$C$22,2,0)</f>
        <v>SIPRI</v>
      </c>
      <c r="D1826" s="7" t="str">
        <f>$A1826&amp;"-"&amp;$C1826&amp;"-"&amp;TEXT(COUNTIFS($A$2:$A1826,$A1826,$C$2:$C1826,$C1826),"000")</f>
        <v>F3-SIPRI-127</v>
      </c>
      <c r="E1826" s="7" t="s">
        <v>1892</v>
      </c>
      <c r="F1826" s="7" t="s">
        <v>1770</v>
      </c>
      <c r="G1826" s="7" t="s">
        <v>3</v>
      </c>
    </row>
    <row r="1827" spans="1:7">
      <c r="A1827" s="7" t="s">
        <v>1006</v>
      </c>
      <c r="B1827" s="7" t="s">
        <v>45</v>
      </c>
      <c r="C1827" s="7" t="str">
        <f>VLOOKUP(B1827,Indice!$B$1:$C$22,2,0)</f>
        <v>SIPRI</v>
      </c>
      <c r="D1827" s="7" t="str">
        <f>$A1827&amp;"-"&amp;$C1827&amp;"-"&amp;TEXT(COUNTIFS($A$2:$A1827,$A1827,$C$2:$C1827,$C1827),"000")</f>
        <v>F3-SIPRI-128</v>
      </c>
      <c r="E1827" s="7" t="s">
        <v>1893</v>
      </c>
      <c r="F1827" s="7" t="s">
        <v>1770</v>
      </c>
      <c r="G1827" s="7" t="s">
        <v>3</v>
      </c>
    </row>
  </sheetData>
  <autoFilter ref="A1:G182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9241744DF31741BD5EC2002548B1D6" ma:contentTypeVersion="16" ma:contentTypeDescription="Crear nuevo documento." ma:contentTypeScope="" ma:versionID="3f20ad673e6ec04afb4b6ac245734acd">
  <xsd:schema xmlns:xsd="http://www.w3.org/2001/XMLSchema" xmlns:xs="http://www.w3.org/2001/XMLSchema" xmlns:p="http://schemas.microsoft.com/office/2006/metadata/properties" xmlns:ns2="6505b73f-5638-4d5d-8417-c46b25ad2ce5" xmlns:ns3="9b4dfc00-4ba1-4c36-b80a-e64523ce2c32" targetNamespace="http://schemas.microsoft.com/office/2006/metadata/properties" ma:root="true" ma:fieldsID="4a9fb3a5f1c7079f77faf8522dd78c48" ns2:_="" ns3:_="">
    <xsd:import namespace="6505b73f-5638-4d5d-8417-c46b25ad2ce5"/>
    <xsd:import namespace="9b4dfc00-4ba1-4c36-b80a-e64523ce2c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5b73f-5638-4d5d-8417-c46b25ad2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2daa359-0f11-41ca-ac09-55fc06dc0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4dfc00-4ba1-4c36-b80a-e64523ce2c3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44afb1b-e883-4c77-9e67-ac8168f93818}" ma:internalName="TaxCatchAll" ma:showField="CatchAllData" ma:web="9b4dfc00-4ba1-4c36-b80a-e64523ce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4dfc00-4ba1-4c36-b80a-e64523ce2c32" xsi:nil="true"/>
    <lcf76f155ced4ddcb4097134ff3c332f xmlns="6505b73f-5638-4d5d-8417-c46b25ad2c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8C42D2-D57F-475A-8E7A-371DEE738028}"/>
</file>

<file path=customXml/itemProps2.xml><?xml version="1.0" encoding="utf-8"?>
<ds:datastoreItem xmlns:ds="http://schemas.openxmlformats.org/officeDocument/2006/customXml" ds:itemID="{23D66DD7-643F-4D70-9D62-68B59638424A}"/>
</file>

<file path=customXml/itemProps3.xml><?xml version="1.0" encoding="utf-8"?>
<ds:datastoreItem xmlns:ds="http://schemas.openxmlformats.org/officeDocument/2006/customXml" ds:itemID="{EE14E77C-CEB2-499B-86E9-5305141DD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Steven Andres Llerena Navarro</cp:lastModifiedBy>
  <cp:revision>0</cp:revision>
  <dcterms:created xsi:type="dcterms:W3CDTF">2026-07-22T20:59:40Z</dcterms:created>
  <dcterms:modified xsi:type="dcterms:W3CDTF">2026-07-27T15:37:51Z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0x010100489241744DF31741BD5EC2002548B1D6</vt:lpwstr>
  </property>
  <property fmtid="{D5CDD505-2E9C-101B-9397-08002B2CF9AE}" pid="3" name="MediaServiceImageTags">
    <vt:lpwstr/>
  </property>
</Properties>
</file>